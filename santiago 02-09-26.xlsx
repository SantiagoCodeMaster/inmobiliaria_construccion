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2-09-26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0" i="1"/>
  <c r="T54"/>
  <c r="T53"/>
  <c r="T52"/>
  <c r="T51"/>
  <c r="T50"/>
  <c r="T49"/>
  <c r="T48"/>
  <c r="T47"/>
  <c r="T46"/>
  <c r="T45"/>
  <c r="T44"/>
  <c r="T43"/>
  <c r="T42"/>
  <c r="T41"/>
  <c r="T40"/>
  <c r="T39"/>
  <c r="AA38"/>
  <c r="T38"/>
  <c r="T37"/>
  <c r="T36"/>
  <c r="T35"/>
  <c r="T34"/>
  <c r="T33"/>
  <c r="S32"/>
  <c r="R32"/>
  <c r="T32" s="1"/>
  <c r="P32"/>
  <c r="S31"/>
  <c r="R31"/>
  <c r="T31" s="1"/>
  <c r="P31"/>
  <c r="L31"/>
  <c r="S30"/>
  <c r="R30"/>
  <c r="T30" s="1"/>
  <c r="P30"/>
  <c r="S29"/>
  <c r="R29"/>
  <c r="T29" s="1"/>
  <c r="P29"/>
  <c r="S28"/>
  <c r="R28"/>
  <c r="T28" s="1"/>
  <c r="P28"/>
  <c r="S27"/>
  <c r="R27"/>
  <c r="P27"/>
  <c r="R26"/>
  <c r="T26" s="1"/>
  <c r="S25"/>
  <c r="R25"/>
  <c r="T25" s="1"/>
  <c r="P25"/>
  <c r="S24"/>
  <c r="R24"/>
  <c r="T24" s="1"/>
  <c r="P24"/>
  <c r="P23"/>
  <c r="S22"/>
  <c r="R22"/>
  <c r="T22" s="1"/>
  <c r="P22"/>
  <c r="T21"/>
  <c r="O21"/>
  <c r="K21"/>
  <c r="K20"/>
  <c r="S20" s="1"/>
  <c r="O19"/>
  <c r="K19"/>
  <c r="S19" s="1"/>
  <c r="R18"/>
  <c r="P18"/>
  <c r="O18"/>
  <c r="K18"/>
  <c r="S18" s="1"/>
  <c r="G18"/>
  <c r="O17"/>
  <c r="K17"/>
  <c r="S17" s="1"/>
  <c r="K16"/>
  <c r="S16" s="1"/>
  <c r="R15"/>
  <c r="T15" s="1"/>
  <c r="N15"/>
  <c r="N20" s="1"/>
  <c r="P20" s="1"/>
  <c r="K15"/>
  <c r="S15" s="1"/>
  <c r="J15"/>
  <c r="J19" s="1"/>
  <c r="E15"/>
  <c r="S9"/>
  <c r="O9"/>
  <c r="K9"/>
  <c r="G9"/>
  <c r="S8"/>
  <c r="O8"/>
  <c r="K8"/>
  <c r="G8"/>
  <c r="S7"/>
  <c r="P7"/>
  <c r="K7"/>
  <c r="G7"/>
  <c r="R6"/>
  <c r="N6"/>
  <c r="L6"/>
  <c r="G6"/>
  <c r="N19" l="1"/>
  <c r="P19" s="1"/>
  <c r="R19"/>
  <c r="T19" s="1"/>
  <c r="L19"/>
  <c r="G15"/>
  <c r="T18"/>
  <c r="P15"/>
  <c r="E16"/>
  <c r="G16" s="1"/>
  <c r="J17"/>
  <c r="E20"/>
  <c r="G20" s="1"/>
  <c r="G62"/>
  <c r="E19"/>
  <c r="G19" s="1"/>
  <c r="F15"/>
  <c r="L15"/>
  <c r="J16"/>
  <c r="E17"/>
  <c r="G17" s="1"/>
  <c r="J20"/>
  <c r="L18"/>
  <c r="R16" l="1"/>
  <c r="T16" s="1"/>
  <c r="N16"/>
  <c r="P16" s="1"/>
  <c r="L16"/>
  <c r="P56"/>
  <c r="G56"/>
  <c r="R20"/>
  <c r="T20" s="1"/>
  <c r="L20"/>
  <c r="N17"/>
  <c r="P17" s="1"/>
  <c r="R17"/>
  <c r="T17" s="1"/>
  <c r="L17"/>
  <c r="L56" s="1"/>
  <c r="L57" l="1"/>
  <c r="L58"/>
  <c r="L59"/>
  <c r="L60" s="1"/>
  <c r="L61"/>
  <c r="L62" s="1"/>
  <c r="P58"/>
  <c r="P59"/>
  <c r="P60" s="1"/>
  <c r="P57"/>
  <c r="T56"/>
  <c r="P61" l="1"/>
  <c r="P62" s="1"/>
  <c r="T59"/>
  <c r="T60" s="1"/>
  <c r="T57"/>
  <c r="T58"/>
  <c r="T61" l="1"/>
  <c r="V61" s="1"/>
  <c r="T62" l="1"/>
</calcChain>
</file>

<file path=xl/sharedStrings.xml><?xml version="1.0" encoding="utf-8"?>
<sst xmlns="http://schemas.openxmlformats.org/spreadsheetml/2006/main" count="324" uniqueCount="113">
  <si>
    <t>ANALISIS DE COMPETENCIA</t>
  </si>
  <si>
    <t xml:space="preserve">TERVI </t>
  </si>
  <si>
    <t>MAESTRO</t>
  </si>
  <si>
    <t xml:space="preserve">BASICO </t>
  </si>
  <si>
    <t xml:space="preserve">MEDIO </t>
  </si>
  <si>
    <t>PLUS</t>
  </si>
  <si>
    <t xml:space="preserve">FECHA </t>
  </si>
  <si>
    <t>M2</t>
  </si>
  <si>
    <t>VR UNT</t>
  </si>
  <si>
    <t xml:space="preserve">VR TOTAL </t>
  </si>
  <si>
    <t xml:space="preserve">PROPUESTA </t>
  </si>
  <si>
    <t xml:space="preserve">TIPO </t>
  </si>
  <si>
    <t xml:space="preserve">Elemental </t>
  </si>
  <si>
    <t>Estandar</t>
  </si>
  <si>
    <t xml:space="preserve">Experto </t>
  </si>
  <si>
    <t>Actividad</t>
  </si>
  <si>
    <t>Descripcion</t>
  </si>
  <si>
    <t>Unidad</t>
  </si>
  <si>
    <t>area</t>
  </si>
  <si>
    <t xml:space="preserve">vr. Unt </t>
  </si>
  <si>
    <t xml:space="preserve">vr. Total </t>
  </si>
  <si>
    <t xml:space="preserve">link </t>
  </si>
  <si>
    <t>Pisos</t>
  </si>
  <si>
    <t>Suministro e instalación piso , nivelacion y cargue de pisos en mortero</t>
  </si>
  <si>
    <t>m2</t>
  </si>
  <si>
    <t>Suminostro e instalacion  piso SPC incluye guarda escobas</t>
  </si>
  <si>
    <t>Muros</t>
  </si>
  <si>
    <t xml:space="preserve">Suministro e instalacion de materiales para nivelacion de paredes, estuco y pintura blnaca a 3 manos </t>
  </si>
  <si>
    <t>suministro enchape (unicas referencias) Mano de obra instalacion de ceramica salpicadero de cocina, y zona de lavadero (completo) , cabina de ducha (si aplica)</t>
  </si>
  <si>
    <t xml:space="preserve">Techos </t>
  </si>
  <si>
    <t xml:space="preserve">Suministro e Instalacion Drywall plano masillado y pintura a 2 manos con dilatacion perimetral. Lamina Drywall RH en baño. Cambio  Iluminacion LED según diseño </t>
  </si>
  <si>
    <t>Aseo</t>
  </si>
  <si>
    <t xml:space="preserve">Aseo final- Retiro de escombros a punto de acopio </t>
  </si>
  <si>
    <t xml:space="preserve">suministro enchape (unicas referencias) Mano de obra instalacion de ceramica Baño completo </t>
  </si>
  <si>
    <t>N/A</t>
  </si>
  <si>
    <t>Madera</t>
  </si>
  <si>
    <t>Puertas en madera para alcoba en aglomerado MDP</t>
  </si>
  <si>
    <t>UND</t>
  </si>
  <si>
    <t xml:space="preserve">Puerta en madera zona de lavanderia </t>
  </si>
  <si>
    <t>closet habitaciones en aglomerado MDP 15mm (hasta 2 m largo)</t>
  </si>
  <si>
    <t xml:space="preserve">Mueble alto  de cocina MDP RH 18mm (hasta 2 m largo) </t>
  </si>
  <si>
    <t xml:space="preserve">Mueble alto- Mueble bajo   de cocina MDP RH 18mm (hasta 2 m largo) </t>
  </si>
  <si>
    <t>Barra auxiliar de cocina en aglomerado MDP 15mm (Hasta1.2m largo )</t>
  </si>
  <si>
    <t>Mueble flotado de Baño  aglomerado MDP 15mm</t>
  </si>
  <si>
    <t>Mueble de ropas  aglomerado MDP 15mm</t>
  </si>
  <si>
    <t xml:space="preserve">Electrodomesticos </t>
  </si>
  <si>
    <t>campana extractora 60 cms 3 velocoidades campana extractora 60 cms 3 velocoidades  210M3/H CM60</t>
  </si>
  <si>
    <t>https://www.homecenter.com.co/homecenter-co/search?Ntt=campana%20extractora%20cocina</t>
  </si>
  <si>
    <t xml:space="preserve">Vidrio </t>
  </si>
  <si>
    <t xml:space="preserve">Division de Baño en vidrio templado con herrajes en acero inoxidable </t>
  </si>
  <si>
    <t xml:space="preserve">Espejo flotado 4 mm + luz led </t>
  </si>
  <si>
    <t xml:space="preserve">Estufa de empotrar Gas natural 4 puestos en vidrio PM6046V0 templado + instalacion </t>
  </si>
  <si>
    <t>https://www.homecenter.com.co/homecenter-co/search?Ntt=estufa%20empotrar&amp;sTerm=estufa%20&amp;sType=suggest&amp;sScenario=BTP_SUG_estufa%20empotrar</t>
  </si>
  <si>
    <t>https://www.homecenter.com.co/homecenter-co/product/507572/estufa-de-empotrar-a-gas-60-x-43-cm-vidrio-pm6046v0/507572/</t>
  </si>
  <si>
    <t>Horno de Empotrar 60 cm Mixto 110 V Gas Natural Inoxidable Negro H60EEVAL005</t>
  </si>
  <si>
    <t>https://www.homecenter.com.co/homecenter-co/product/706690/horno-de-empotrar-60-cm-mixto-110-v-gas-natural-inoxidable-negro-h60eeval005/706690/</t>
  </si>
  <si>
    <t xml:space="preserve">punto gas </t>
  </si>
  <si>
    <t xml:space="preserve">Punto de gas horno de empotrar </t>
  </si>
  <si>
    <t xml:space="preserve">Aparatos </t>
  </si>
  <si>
    <t>Sanitario Smart Alongado Single Blanco Corona.- Kit Lavamanos Sobreponer Bowl 37 Diam Vessel+Grifería Agua Fria Acero Inox- Kit Accesorios Baño Grazia Negro Percha+Portarr+Toallero</t>
  </si>
  <si>
    <t>https://www.homecenter.com.co/homecenter-co/product/468303/sanitario-smart-alongado-single-blanco-corona/468303/</t>
  </si>
  <si>
    <t>https://www.homecenter.com.co/homecenter-co/product/679512/kit-lavamanos-sobreponer-bowl-37-diam-vesselgriferia-agua-fria-acero-inox/679512/</t>
  </si>
  <si>
    <t>https://www.homecenter.com.co/homecenter-co/product/478593/kit-accesorios-bano-grazia-negro-perchaportarrtoallero/478593/</t>
  </si>
  <si>
    <t>Instalacion Sanitario Smart Alongado Single Blanco Corona.- Kit Lavamanos Sobreponer Bowl 37 Diam Vessel+Grifería Agua Fria Acero Inox- Kit Accesorios Baño Grazia Negro Percha+Portarr+Toallero</t>
  </si>
  <si>
    <t>Corona
Sanitario Smart Alongado Single Blanco Corona</t>
  </si>
  <si>
    <t>Kit Lavamanos Sobreponer Bowl 37 Diam Vessel+Grifería Agua Fria Acero Inox</t>
  </si>
  <si>
    <t>Kit Accesorios Baño Grazia Negro Percha+Portarr+Toallero</t>
  </si>
  <si>
    <t xml:space="preserve">total </t>
  </si>
  <si>
    <t>Kit  Sanitario Con Brida</t>
  </si>
  <si>
    <t>https://www.homecenter.com.co/homecenter-co/product/312220/kit-instalacion-sanitario-con-brida/312220/</t>
  </si>
  <si>
    <t xml:space="preserve">instalacion kit acoflex sanitario </t>
  </si>
  <si>
    <t xml:space="preserve"> kit acoflex lavamanos </t>
  </si>
  <si>
    <t xml:space="preserve">instalacion kit acoflex lavamanos </t>
  </si>
  <si>
    <t>lavaplatos Lavaplatos Radiante de Submontar 1 Poceta 60x40 cm Acero Inoxidable Socoda</t>
  </si>
  <si>
    <t>https://www.homecenter.com.co/homecenter-co/product/321565/lavaplatos-radiante-de-submontar-1-poceta-60x40-cm-acero-inoxidable-socoda/321565/</t>
  </si>
  <si>
    <t>Instalacion lavaplatos Lavaplatos Radiante de Submontar 1 Poceta 60x40 cm Acero Inoxidable Socoda</t>
  </si>
  <si>
    <t>https://www.homecenter.com.co/homecenter-co/product/258493/lavaplatos-para-empotrar-1-poceta-53x43-cm-acero-inoxidable/258493/</t>
  </si>
  <si>
    <t xml:space="preserve">griferias </t>
  </si>
  <si>
    <t>Grifería Lavaplatos Sencilla Gus Mueble Negra Sensi Dacqua</t>
  </si>
  <si>
    <t>https://www.homecenter.com.co/homecenter-co/product/900325/griferia-lavaplatos-sencilla-gus-mueble-negra-sensi-dacqua/900325/</t>
  </si>
  <si>
    <t>Instlacion Grifería Lavaplatos Sencilla Gus Mueble Negra Sensi Dacqua</t>
  </si>
  <si>
    <t>Kit De Instalación Completo Para Lavaplatos Con Canastilla 4" Pulgadas En Polimero + Sifon En P De Polimerime Gris + 2 Acoples Para Griferia De Lavaplatos De 8" Pulgadas Grival</t>
  </si>
  <si>
    <t>https://www.homecenter.com.co/homecenter-co/product/138763/kit-de-instalacion-completo-para-lavaplatos-con-canastilla-4-pulgadas-en-polimero-sifon-en-p-de-polimerime-gris-2-acoples-para-griferia-de-lavaplatos-de-8-pulgadas-grival/138763/</t>
  </si>
  <si>
    <t>Instalacion Kit De Instalación Completo Para Lavaplatos Con Canastilla 4" Pulgadas En Polimero + Sifon En P De Polimerime Gris + 2 Acoples Para Griferia De Lavaplatos De 8" Pulgadas Grival</t>
  </si>
  <si>
    <t>Grifería Ducha Monocontrol Nott Negra+Regadera 25X25+Brazo Red 30 Cms</t>
  </si>
  <si>
    <t>https://www.homecenter.com.co/homecenter-co/product/721667/griferia-ducha-monocontrol-nott-negraregadera-25x25brazo-red-30-cms/721667/</t>
  </si>
  <si>
    <t xml:space="preserve">Incrustaciones </t>
  </si>
  <si>
    <t>Instalacion Grifería Ducha Monocontrol Nott Negra+Regadera 25X25</t>
  </si>
  <si>
    <t xml:space="preserve">Quarztone </t>
  </si>
  <si>
    <t>Meson de cocina en Quarztone hasta 2 m</t>
  </si>
  <si>
    <t>Meson Barra auxiliar en Quarztone (Hasta1.2m largo )</t>
  </si>
  <si>
    <t xml:space="preserve">Meson Lavamanos tipo guitarra en Quarztone </t>
  </si>
  <si>
    <t>Iluminacion</t>
  </si>
  <si>
    <t xml:space="preserve">Riel Spot 3 Luces Gu10 Negro COCINA </t>
  </si>
  <si>
    <t xml:space="preserve">Instalacion Riel Spot 3 Luces Gu10 Negro cocina </t>
  </si>
  <si>
    <t>https://www.homecenter.com.co/homecenter-co/product/511825/riel-spot-3-luces-gu10-negro/511825/?kid=shopp_goosho_1430593&amp;shop=1&amp;gad_source=1&amp;gad_campaignid=20228062686&amp;gbraid=0AAAAADt6wnrGKkrRP8vI-IrN1wOGBOJZ4&amp;gclid=CjwKCAjw-dfOBhAjEiwAq0RwI-XMzeebtsL4e7iEEcLvCJnTVIAWXdM2k8iwyTAJ-bp25qe2KFrk_BoCt0EQAvD_BwE</t>
  </si>
  <si>
    <t>ADMON 12%</t>
  </si>
  <si>
    <t>IMPREVISTOS  3%</t>
  </si>
  <si>
    <t>UTILIDAD 4%</t>
  </si>
  <si>
    <t>IVA SOBRE U 19%</t>
  </si>
  <si>
    <t>PRECIO OFERTA M2</t>
  </si>
  <si>
    <t>PRECIO OFERTA  M2</t>
  </si>
  <si>
    <t xml:space="preserve">NOTAS </t>
  </si>
  <si>
    <t xml:space="preserve">El material correspondiente a enchape y/o piso SPC y sus derivados deben ser suministrados por el cliente </t>
  </si>
  <si>
    <t>no se contempla cambio de elementos como (mesón en acero, estufa, aparatos en baño, griferias, incrutaciones y enchapes si aplica)</t>
  </si>
  <si>
    <t>no se contempla cambio de elementos como (mesón en acero, estufa, aparatos sanitarios (lavamanos, santario)(lavadero), griferias, inscrutaciones y enchapes si aplica). Aparatos electricos como tomas, interruptores</t>
  </si>
  <si>
    <t xml:space="preserve">Recibe un obsequio de decoracion en tu sala por adquirir nuestros servicios </t>
  </si>
  <si>
    <t>No se contempla cambio de tomas, interruptores</t>
  </si>
  <si>
    <t>REF</t>
  </si>
  <si>
    <t>KPIS</t>
  </si>
  <si>
    <t>25M2</t>
  </si>
  <si>
    <t>35M2</t>
  </si>
  <si>
    <t>50M2</t>
  </si>
</sst>
</file>

<file path=xl/styles.xml><?xml version="1.0" encoding="utf-8"?>
<styleSheet xmlns="http://schemas.openxmlformats.org/spreadsheetml/2006/main">
  <numFmts count="4"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_-&quot;$&quot;* #,##0_-;\-&quot;$&quot;* #,##0_-;_-&quot;$&quot;* &quot;-&quot;?????_-;_-@_-"/>
    <numFmt numFmtId="167" formatCode="_(&quot;$&quot;* #,##0_);_(&quot;$&quot;* \(#,##0\);_(&quot;$&quot;* &quot;-&quot;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7" fontId="1" fillId="0" borderId="0" applyFont="0" applyFill="0" applyBorder="0" applyAlignment="0" applyProtection="0"/>
  </cellStyleXfs>
  <cellXfs count="157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164" fontId="0" fillId="3" borderId="5" xfId="1" applyFont="1" applyFill="1" applyBorder="1" applyAlignment="1">
      <alignment horizontal="left"/>
    </xf>
    <xf numFmtId="166" fontId="0" fillId="0" borderId="6" xfId="0" applyNumberFormat="1" applyBorder="1" applyAlignment="1">
      <alignment horizontal="left"/>
    </xf>
    <xf numFmtId="164" fontId="0" fillId="0" borderId="6" xfId="1" applyFont="1" applyBorder="1" applyAlignment="1">
      <alignment horizontal="left"/>
    </xf>
    <xf numFmtId="0" fontId="0" fillId="0" borderId="7" xfId="0" applyBorder="1" applyAlignment="1">
      <alignment horizontal="left"/>
    </xf>
    <xf numFmtId="164" fontId="0" fillId="3" borderId="8" xfId="1" applyFont="1" applyFill="1" applyBorder="1" applyAlignment="1">
      <alignment horizontal="left"/>
    </xf>
    <xf numFmtId="164" fontId="0" fillId="0" borderId="9" xfId="1" applyFont="1" applyBorder="1" applyAlignment="1">
      <alignment horizontal="left"/>
    </xf>
    <xf numFmtId="0" fontId="0" fillId="0" borderId="10" xfId="0" applyBorder="1" applyAlignment="1">
      <alignment horizontal="left"/>
    </xf>
    <xf numFmtId="164" fontId="0" fillId="3" borderId="11" xfId="1" applyFont="1" applyFill="1" applyBorder="1" applyAlignment="1">
      <alignment horizontal="left"/>
    </xf>
    <xf numFmtId="166" fontId="0" fillId="0" borderId="12" xfId="0" applyNumberFormat="1" applyBorder="1" applyAlignment="1">
      <alignment horizontal="left"/>
    </xf>
    <xf numFmtId="164" fontId="0" fillId="0" borderId="12" xfId="1" applyFont="1" applyBorder="1" applyAlignment="1">
      <alignment horizontal="left"/>
    </xf>
    <xf numFmtId="0" fontId="0" fillId="0" borderId="13" xfId="0" applyBorder="1" applyAlignment="1">
      <alignment horizontal="left"/>
    </xf>
    <xf numFmtId="164" fontId="0" fillId="3" borderId="14" xfId="1" applyFont="1" applyFill="1" applyBorder="1" applyAlignment="1">
      <alignment horizontal="left"/>
    </xf>
    <xf numFmtId="166" fontId="0" fillId="0" borderId="15" xfId="0" applyNumberFormat="1" applyBorder="1" applyAlignment="1">
      <alignment horizontal="left"/>
    </xf>
    <xf numFmtId="164" fontId="0" fillId="0" borderId="15" xfId="1" applyFont="1" applyBorder="1" applyAlignment="1">
      <alignment horizontal="left"/>
    </xf>
    <xf numFmtId="166" fontId="0" fillId="0" borderId="0" xfId="0" applyNumberFormat="1"/>
    <xf numFmtId="164" fontId="0" fillId="0" borderId="0" xfId="0" applyNumberFormat="1"/>
    <xf numFmtId="0" fontId="2" fillId="4" borderId="16" xfId="0" applyFont="1" applyFill="1" applyBorder="1"/>
    <xf numFmtId="0" fontId="2" fillId="4" borderId="17" xfId="0" applyFont="1" applyFill="1" applyBorder="1" applyAlignment="1">
      <alignment horizontal="right"/>
    </xf>
    <xf numFmtId="0" fontId="2" fillId="4" borderId="18" xfId="0" applyFont="1" applyFill="1" applyBorder="1"/>
    <xf numFmtId="0" fontId="2" fillId="5" borderId="16" xfId="0" applyFont="1" applyFill="1" applyBorder="1"/>
    <xf numFmtId="0" fontId="2" fillId="5" borderId="17" xfId="0" applyFont="1" applyFill="1" applyBorder="1" applyAlignment="1">
      <alignment horizontal="right"/>
    </xf>
    <xf numFmtId="0" fontId="0" fillId="5" borderId="18" xfId="0" applyFill="1" applyBorder="1"/>
    <xf numFmtId="0" fontId="2" fillId="6" borderId="16" xfId="0" applyFont="1" applyFill="1" applyBorder="1"/>
    <xf numFmtId="0" fontId="2" fillId="6" borderId="17" xfId="0" applyFont="1" applyFill="1" applyBorder="1" applyAlignment="1">
      <alignment horizontal="right"/>
    </xf>
    <xf numFmtId="0" fontId="2" fillId="6" borderId="18" xfId="0" applyFont="1" applyFill="1" applyBorder="1"/>
    <xf numFmtId="165" fontId="0" fillId="0" borderId="0" xfId="0" applyNumberFormat="1"/>
    <xf numFmtId="0" fontId="2" fillId="7" borderId="19" xfId="0" applyFont="1" applyFill="1" applyBorder="1" applyAlignment="1">
      <alignment horizontal="center"/>
    </xf>
    <xf numFmtId="164" fontId="2" fillId="4" borderId="1" xfId="1" applyFont="1" applyFill="1" applyBorder="1" applyAlignment="1">
      <alignment horizontal="center"/>
    </xf>
    <xf numFmtId="164" fontId="2" fillId="5" borderId="20" xfId="1" applyFont="1" applyFill="1" applyBorder="1" applyAlignment="1">
      <alignment horizontal="center"/>
    </xf>
    <xf numFmtId="164" fontId="2" fillId="6" borderId="21" xfId="1" applyFont="1" applyFill="1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8" borderId="7" xfId="0" applyFill="1" applyBorder="1"/>
    <xf numFmtId="164" fontId="0" fillId="8" borderId="8" xfId="1" applyFont="1" applyFill="1" applyBorder="1"/>
    <xf numFmtId="164" fontId="0" fillId="8" borderId="9" xfId="0" applyNumberFormat="1" applyFill="1" applyBorder="1"/>
    <xf numFmtId="0" fontId="0" fillId="5" borderId="7" xfId="0" applyFill="1" applyBorder="1"/>
    <xf numFmtId="164" fontId="0" fillId="5" borderId="8" xfId="1" applyFont="1" applyFill="1" applyBorder="1"/>
    <xf numFmtId="164" fontId="0" fillId="5" borderId="9" xfId="0" applyNumberFormat="1" applyFill="1" applyBorder="1"/>
    <xf numFmtId="0" fontId="0" fillId="6" borderId="7" xfId="0" applyFill="1" applyBorder="1"/>
    <xf numFmtId="164" fontId="0" fillId="6" borderId="8" xfId="1" applyFont="1" applyFill="1" applyBorder="1"/>
    <xf numFmtId="164" fontId="0" fillId="6" borderId="9" xfId="0" applyNumberFormat="1" applyFill="1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8" borderId="10" xfId="0" applyFill="1" applyBorder="1"/>
    <xf numFmtId="164" fontId="0" fillId="8" borderId="11" xfId="1" applyFont="1" applyFill="1" applyBorder="1"/>
    <xf numFmtId="164" fontId="0" fillId="8" borderId="12" xfId="0" applyNumberFormat="1" applyFill="1" applyBorder="1"/>
    <xf numFmtId="0" fontId="0" fillId="5" borderId="10" xfId="0" applyFill="1" applyBorder="1"/>
    <xf numFmtId="164" fontId="0" fillId="5" borderId="11" xfId="1" applyFont="1" applyFill="1" applyBorder="1"/>
    <xf numFmtId="164" fontId="0" fillId="5" borderId="12" xfId="0" applyNumberFormat="1" applyFill="1" applyBorder="1"/>
    <xf numFmtId="0" fontId="0" fillId="6" borderId="10" xfId="0" applyFill="1" applyBorder="1"/>
    <xf numFmtId="164" fontId="0" fillId="6" borderId="11" xfId="1" applyFont="1" applyFill="1" applyBorder="1"/>
    <xf numFmtId="164" fontId="0" fillId="6" borderId="12" xfId="0" applyNumberFormat="1" applyFill="1" applyBorder="1"/>
    <xf numFmtId="0" fontId="0" fillId="0" borderId="13" xfId="0" applyBorder="1"/>
    <xf numFmtId="0" fontId="0" fillId="0" borderId="14" xfId="0" applyBorder="1" applyAlignment="1">
      <alignment wrapText="1"/>
    </xf>
    <xf numFmtId="0" fontId="0" fillId="0" borderId="15" xfId="0" applyBorder="1"/>
    <xf numFmtId="0" fontId="0" fillId="8" borderId="22" xfId="0" applyFill="1" applyBorder="1"/>
    <xf numFmtId="164" fontId="0" fillId="8" borderId="23" xfId="1" applyFont="1" applyFill="1" applyBorder="1"/>
    <xf numFmtId="164" fontId="0" fillId="8" borderId="24" xfId="0" applyNumberFormat="1" applyFill="1" applyBorder="1"/>
    <xf numFmtId="0" fontId="0" fillId="8" borderId="13" xfId="0" applyFill="1" applyBorder="1"/>
    <xf numFmtId="164" fontId="0" fillId="8" borderId="14" xfId="1" applyFont="1" applyFill="1" applyBorder="1"/>
    <xf numFmtId="164" fontId="0" fillId="8" borderId="15" xfId="0" applyNumberFormat="1" applyFill="1" applyBorder="1"/>
    <xf numFmtId="0" fontId="0" fillId="5" borderId="22" xfId="0" applyFill="1" applyBorder="1"/>
    <xf numFmtId="164" fontId="0" fillId="5" borderId="23" xfId="1" applyFont="1" applyFill="1" applyBorder="1"/>
    <xf numFmtId="164" fontId="0" fillId="5" borderId="24" xfId="0" applyNumberFormat="1" applyFill="1" applyBorder="1"/>
    <xf numFmtId="0" fontId="0" fillId="6" borderId="22" xfId="0" applyFill="1" applyBorder="1"/>
    <xf numFmtId="164" fontId="0" fillId="6" borderId="23" xfId="1" applyFont="1" applyFill="1" applyBorder="1"/>
    <xf numFmtId="164" fontId="0" fillId="6" borderId="24" xfId="0" applyNumberFormat="1" applyFill="1" applyBorder="1"/>
    <xf numFmtId="164" fontId="0" fillId="0" borderId="8" xfId="1" applyFont="1" applyBorder="1"/>
    <xf numFmtId="164" fontId="0" fillId="0" borderId="9" xfId="1" applyFont="1" applyBorder="1"/>
    <xf numFmtId="0" fontId="0" fillId="0" borderId="11" xfId="0" applyBorder="1"/>
    <xf numFmtId="164" fontId="0" fillId="0" borderId="11" xfId="1" applyFont="1" applyBorder="1"/>
    <xf numFmtId="164" fontId="0" fillId="0" borderId="12" xfId="1" applyFont="1" applyBorder="1"/>
    <xf numFmtId="0" fontId="0" fillId="0" borderId="25" xfId="0" applyBorder="1"/>
    <xf numFmtId="0" fontId="0" fillId="5" borderId="11" xfId="0" applyFill="1" applyBorder="1"/>
    <xf numFmtId="164" fontId="0" fillId="5" borderId="11" xfId="0" applyNumberFormat="1" applyFill="1" applyBorder="1"/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6" xfId="0" applyBorder="1"/>
    <xf numFmtId="164" fontId="0" fillId="0" borderId="5" xfId="1" applyFont="1" applyBorder="1"/>
    <xf numFmtId="164" fontId="0" fillId="0" borderId="6" xfId="1" applyFont="1" applyBorder="1"/>
    <xf numFmtId="0" fontId="0" fillId="5" borderId="4" xfId="0" applyFill="1" applyBorder="1"/>
    <xf numFmtId="164" fontId="0" fillId="5" borderId="5" xfId="1" applyFont="1" applyFill="1" applyBorder="1"/>
    <xf numFmtId="164" fontId="0" fillId="5" borderId="6" xfId="0" applyNumberFormat="1" applyFill="1" applyBorder="1"/>
    <xf numFmtId="164" fontId="0" fillId="0" borderId="12" xfId="0" applyNumberFormat="1" applyBorder="1"/>
    <xf numFmtId="0" fontId="0" fillId="3" borderId="11" xfId="0" applyFill="1" applyBorder="1" applyAlignment="1">
      <alignment wrapText="1"/>
    </xf>
    <xf numFmtId="0" fontId="3" fillId="0" borderId="0" xfId="2" applyAlignment="1">
      <alignment wrapText="1"/>
    </xf>
    <xf numFmtId="0" fontId="0" fillId="0" borderId="22" xfId="0" applyBorder="1"/>
    <xf numFmtId="0" fontId="0" fillId="0" borderId="23" xfId="0" applyBorder="1" applyAlignment="1">
      <alignment wrapText="1"/>
    </xf>
    <xf numFmtId="0" fontId="0" fillId="0" borderId="24" xfId="0" applyBorder="1"/>
    <xf numFmtId="164" fontId="0" fillId="0" borderId="14" xfId="1" applyFont="1" applyBorder="1"/>
    <xf numFmtId="164" fontId="0" fillId="0" borderId="15" xfId="0" applyNumberFormat="1" applyBorder="1"/>
    <xf numFmtId="164" fontId="0" fillId="5" borderId="14" xfId="1" applyFont="1" applyFill="1" applyBorder="1"/>
    <xf numFmtId="164" fontId="0" fillId="5" borderId="15" xfId="0" applyNumberFormat="1" applyFill="1" applyBorder="1"/>
    <xf numFmtId="0" fontId="0" fillId="6" borderId="13" xfId="0" applyFill="1" applyBorder="1"/>
    <xf numFmtId="164" fontId="0" fillId="6" borderId="14" xfId="1" applyFont="1" applyFill="1" applyBorder="1"/>
    <xf numFmtId="164" fontId="0" fillId="6" borderId="15" xfId="0" applyNumberFormat="1" applyFill="1" applyBorder="1"/>
    <xf numFmtId="164" fontId="0" fillId="0" borderId="9" xfId="0" applyNumberFormat="1" applyBorder="1"/>
    <xf numFmtId="0" fontId="0" fillId="6" borderId="4" xfId="0" applyFill="1" applyBorder="1"/>
    <xf numFmtId="164" fontId="0" fillId="6" borderId="5" xfId="1" applyFont="1" applyFill="1" applyBorder="1"/>
    <xf numFmtId="164" fontId="0" fillId="6" borderId="6" xfId="0" applyNumberFormat="1" applyFill="1" applyBorder="1"/>
    <xf numFmtId="0" fontId="4" fillId="0" borderId="11" xfId="0" applyFont="1" applyBorder="1" applyAlignment="1">
      <alignment wrapText="1"/>
    </xf>
    <xf numFmtId="0" fontId="4" fillId="0" borderId="0" xfId="0" applyFont="1"/>
    <xf numFmtId="167" fontId="5" fillId="9" borderId="11" xfId="3" applyFont="1" applyFill="1" applyBorder="1" applyAlignment="1">
      <alignment horizontal="center" vertical="center"/>
    </xf>
    <xf numFmtId="0" fontId="3" fillId="0" borderId="0" xfId="2"/>
    <xf numFmtId="0" fontId="0" fillId="0" borderId="0" xfId="0" applyAlignment="1">
      <alignment wrapText="1"/>
    </xf>
    <xf numFmtId="164" fontId="0" fillId="0" borderId="0" xfId="1" applyFont="1" applyBorder="1"/>
    <xf numFmtId="164" fontId="0" fillId="0" borderId="0" xfId="1" applyFont="1"/>
    <xf numFmtId="0" fontId="0" fillId="0" borderId="29" xfId="0" applyBorder="1"/>
    <xf numFmtId="0" fontId="0" fillId="0" borderId="30" xfId="0" applyBorder="1"/>
    <xf numFmtId="164" fontId="0" fillId="0" borderId="30" xfId="1" applyFont="1" applyBorder="1"/>
    <xf numFmtId="164" fontId="2" fillId="0" borderId="21" xfId="0" applyNumberFormat="1" applyFont="1" applyBorder="1"/>
    <xf numFmtId="0" fontId="0" fillId="0" borderId="31" xfId="0" applyBorder="1"/>
    <xf numFmtId="164" fontId="2" fillId="0" borderId="0" xfId="1" applyFont="1" applyBorder="1" applyAlignment="1">
      <alignment horizontal="left"/>
    </xf>
    <xf numFmtId="164" fontId="0" fillId="0" borderId="32" xfId="0" applyNumberFormat="1" applyBorder="1"/>
    <xf numFmtId="164" fontId="2" fillId="0" borderId="0" xfId="1" applyFont="1" applyBorder="1"/>
    <xf numFmtId="164" fontId="2" fillId="4" borderId="18" xfId="1" applyFont="1" applyFill="1" applyBorder="1"/>
    <xf numFmtId="164" fontId="2" fillId="4" borderId="21" xfId="1" applyFont="1" applyFill="1" applyBorder="1"/>
    <xf numFmtId="164" fontId="2" fillId="5" borderId="3" xfId="1" applyFont="1" applyFill="1" applyBorder="1"/>
    <xf numFmtId="164" fontId="2" fillId="6" borderId="21" xfId="1" applyFont="1" applyFill="1" applyBorder="1"/>
    <xf numFmtId="164" fontId="2" fillId="4" borderId="1" xfId="1" applyFont="1" applyFill="1" applyBorder="1" applyAlignment="1">
      <alignment wrapText="1"/>
    </xf>
    <xf numFmtId="164" fontId="2" fillId="4" borderId="3" xfId="1" applyFont="1" applyFill="1" applyBorder="1"/>
    <xf numFmtId="164" fontId="2" fillId="5" borderId="1" xfId="1" applyFont="1" applyFill="1" applyBorder="1" applyAlignment="1">
      <alignment wrapText="1"/>
    </xf>
    <xf numFmtId="164" fontId="2" fillId="6" borderId="1" xfId="1" applyFont="1" applyFill="1" applyBorder="1" applyAlignment="1">
      <alignment wrapText="1"/>
    </xf>
    <xf numFmtId="164" fontId="2" fillId="6" borderId="3" xfId="1" applyFont="1" applyFill="1" applyBorder="1"/>
    <xf numFmtId="0" fontId="0" fillId="0" borderId="32" xfId="0" applyBorder="1"/>
    <xf numFmtId="164" fontId="0" fillId="3" borderId="0" xfId="1" applyFont="1" applyFill="1" applyBorder="1"/>
    <xf numFmtId="164" fontId="0" fillId="3" borderId="32" xfId="1" applyFont="1" applyFill="1" applyBorder="1"/>
    <xf numFmtId="0" fontId="0" fillId="0" borderId="11" xfId="0" applyBorder="1" applyAlignment="1">
      <alignment horizontal="right"/>
    </xf>
    <xf numFmtId="164" fontId="0" fillId="10" borderId="11" xfId="1" applyFont="1" applyFill="1" applyBorder="1" applyAlignment="1">
      <alignment horizontal="left"/>
    </xf>
    <xf numFmtId="164" fontId="0" fillId="0" borderId="11" xfId="1" applyFont="1" applyBorder="1" applyAlignment="1">
      <alignment horizontal="left"/>
    </xf>
    <xf numFmtId="164" fontId="0" fillId="11" borderId="11" xfId="1" applyFont="1" applyFill="1" applyBorder="1" applyAlignment="1">
      <alignment horizontal="left"/>
    </xf>
    <xf numFmtId="164" fontId="0" fillId="11" borderId="12" xfId="1" applyFont="1" applyFill="1" applyBorder="1" applyAlignment="1">
      <alignment horizontal="left"/>
    </xf>
    <xf numFmtId="164" fontId="0" fillId="10" borderId="12" xfId="1" applyFont="1" applyFill="1" applyBorder="1" applyAlignment="1">
      <alignment horizontal="left"/>
    </xf>
    <xf numFmtId="0" fontId="0" fillId="0" borderId="33" xfId="0" applyBorder="1"/>
    <xf numFmtId="0" fontId="0" fillId="0" borderId="34" xfId="0" applyBorder="1"/>
    <xf numFmtId="0" fontId="0" fillId="0" borderId="14" xfId="0" applyBorder="1" applyAlignment="1">
      <alignment horizontal="right"/>
    </xf>
    <xf numFmtId="164" fontId="0" fillId="10" borderId="14" xfId="1" applyFont="1" applyFill="1" applyBorder="1" applyAlignment="1">
      <alignment horizontal="left"/>
    </xf>
    <xf numFmtId="164" fontId="0" fillId="0" borderId="14" xfId="1" applyFont="1" applyBorder="1" applyAlignment="1">
      <alignment horizontal="left"/>
    </xf>
    <xf numFmtId="164" fontId="0" fillId="10" borderId="15" xfId="1" applyFont="1" applyFill="1" applyBorder="1" applyAlignment="1">
      <alignment horizontal="left"/>
    </xf>
    <xf numFmtId="0" fontId="0" fillId="0" borderId="10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3" fillId="0" borderId="26" xfId="2" applyBorder="1" applyAlignment="1">
      <alignment horizontal="left" wrapText="1"/>
    </xf>
    <xf numFmtId="0" fontId="3" fillId="0" borderId="27" xfId="2" applyBorder="1" applyAlignment="1">
      <alignment horizontal="left" wrapText="1"/>
    </xf>
    <xf numFmtId="0" fontId="3" fillId="0" borderId="28" xfId="2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32" xfId="0" applyBorder="1" applyAlignment="1">
      <alignment horizontal="left" wrapText="1"/>
    </xf>
  </cellXfs>
  <cellStyles count="4">
    <cellStyle name="Hipervínculo" xfId="2" builtinId="8"/>
    <cellStyle name="Moneda [0]" xfId="1" builtinId="7"/>
    <cellStyle name="Moneda [0] 2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mecenter.com.co/homecenter-co/product/511825/riel-spot-3-luces-gu10-negro/511825/?kid=shopp_goosho_1430593&amp;shop=1&amp;gad_source=1&amp;gad_campaignid=20228062686&amp;gbraid=0AAAAADt6wnrGKkrRP8vI-IrN1wOGBOJZ4&amp;gclid=CjwKCAjw-dfOBhAjEiwAq0RwI-XMzeebtsL4e7iEEcLvCJnTVIAWXdM2k8iwyTAJ-bp25qe2KFrk_BoCt0EQAvD_BwE" TargetMode="External"/><Relationship Id="rId3" Type="http://schemas.openxmlformats.org/officeDocument/2006/relationships/hyperlink" Target="https://www.homecenter.com.co/homecenter-co/product/706690/horno-de-empotrar-60-cm-mixto-110-v-gas-natural-inoxidable-negro-h60eeval005/706690/" TargetMode="External"/><Relationship Id="rId7" Type="http://schemas.openxmlformats.org/officeDocument/2006/relationships/hyperlink" Target="https://www.homecenter.com.co/homecenter-co/product/138763/kit-de-instalacion-completo-para-lavaplatos-con-canastilla-4-pulgadas-en-polimero-sifon-en-p-de-polimerime-gris-2-acoples-para-griferia-de-lavaplatos-de-8-pulgadas-grival/138763/" TargetMode="External"/><Relationship Id="rId2" Type="http://schemas.openxmlformats.org/officeDocument/2006/relationships/hyperlink" Target="https://www.homecenter.com.co/homecenter-co/search?Ntt=estufa%20empotrar&amp;sTerm=estufa%20&amp;sType=suggest&amp;sScenario=BTP_SUG_estufa%20empotrar" TargetMode="External"/><Relationship Id="rId1" Type="http://schemas.openxmlformats.org/officeDocument/2006/relationships/hyperlink" Target="https://www.homecenter.com.co/homecenter-co/product/900325/griferia-lavaplatos-sencilla-gus-mueble-negra-sensi-dacqua/900325/" TargetMode="External"/><Relationship Id="rId6" Type="http://schemas.openxmlformats.org/officeDocument/2006/relationships/hyperlink" Target="https://www.homecenter.com.co/homecenter-co/product/478593/kit-accesorios-bano-grazia-negro-perchaportarrtoallero/478593/" TargetMode="External"/><Relationship Id="rId5" Type="http://schemas.openxmlformats.org/officeDocument/2006/relationships/hyperlink" Target="https://www.homecenter.com.co/homecenter-co/product/679512/kit-lavamanos-sobreponer-bowl-37-diam-vesselgriferia-agua-fria-acero-inox/679512/" TargetMode="External"/><Relationship Id="rId4" Type="http://schemas.openxmlformats.org/officeDocument/2006/relationships/hyperlink" Target="https://www.homecenter.com.co/homecenter-co/product/721667/griferia-ducha-monocontrol-nott-negraregadera-25x25brazo-red-30-cms/721667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71"/>
  <sheetViews>
    <sheetView tabSelected="1" topLeftCell="B42" workbookViewId="0">
      <selection activeCell="S21" sqref="I21:S21"/>
    </sheetView>
  </sheetViews>
  <sheetFormatPr baseColWidth="10" defaultRowHeight="14.5"/>
  <cols>
    <col min="1" max="1" width="17.1796875" customWidth="1"/>
    <col min="2" max="2" width="50.54296875" customWidth="1"/>
    <col min="4" max="4" width="3.81640625" customWidth="1"/>
    <col min="5" max="5" width="12" hidden="1" customWidth="1"/>
    <col min="6" max="6" width="18" hidden="1" customWidth="1"/>
    <col min="7" max="7" width="12.54296875" hidden="1" customWidth="1"/>
    <col min="8" max="8" width="8.81640625" customWidth="1"/>
    <col min="9" max="9" width="3.81640625" customWidth="1"/>
    <col min="10" max="10" width="9.26953125" customWidth="1"/>
    <col min="11" max="11" width="16.81640625" customWidth="1"/>
    <col min="12" max="12" width="18.453125" bestFit="1" customWidth="1"/>
    <col min="13" max="13" width="4" customWidth="1"/>
    <col min="14" max="14" width="7.1796875" bestFit="1" customWidth="1"/>
    <col min="15" max="15" width="19.7265625" customWidth="1"/>
    <col min="16" max="16" width="17.26953125" customWidth="1"/>
    <col min="17" max="17" width="3.54296875" customWidth="1"/>
    <col min="18" max="18" width="7.1796875" bestFit="1" customWidth="1"/>
    <col min="19" max="19" width="18.81640625" customWidth="1"/>
    <col min="20" max="20" width="16.1796875" customWidth="1"/>
    <col min="21" max="21" width="12.7265625" customWidth="1"/>
    <col min="22" max="22" width="118.81640625" customWidth="1"/>
    <col min="24" max="24" width="48.7265625" bestFit="1" customWidth="1"/>
    <col min="25" max="25" width="60.81640625" bestFit="1" customWidth="1"/>
    <col min="26" max="26" width="51.54296875" bestFit="1" customWidth="1"/>
    <col min="27" max="27" width="19" bestFit="1" customWidth="1"/>
  </cols>
  <sheetData>
    <row r="1" spans="1:22">
      <c r="E1" s="1" t="s">
        <v>0</v>
      </c>
      <c r="J1" s="1" t="s">
        <v>0</v>
      </c>
    </row>
    <row r="2" spans="1:22">
      <c r="E2" s="1" t="s">
        <v>1</v>
      </c>
      <c r="F2" t="s">
        <v>2</v>
      </c>
      <c r="J2" s="1" t="s">
        <v>1</v>
      </c>
      <c r="K2" t="s">
        <v>3</v>
      </c>
      <c r="O2" t="s">
        <v>4</v>
      </c>
      <c r="S2" t="s">
        <v>5</v>
      </c>
    </row>
    <row r="4" spans="1:22" ht="15" thickBot="1">
      <c r="E4" s="1" t="s">
        <v>6</v>
      </c>
      <c r="F4" s="2">
        <v>46113</v>
      </c>
      <c r="J4" s="1" t="s">
        <v>6</v>
      </c>
      <c r="K4" s="2">
        <v>46113</v>
      </c>
      <c r="N4" s="1" t="s">
        <v>6</v>
      </c>
      <c r="O4" s="2">
        <v>46113</v>
      </c>
      <c r="R4" s="1" t="s">
        <v>6</v>
      </c>
      <c r="S4" s="2">
        <v>46113</v>
      </c>
    </row>
    <row r="5" spans="1:22" ht="15" thickBot="1">
      <c r="E5" s="3" t="s">
        <v>7</v>
      </c>
      <c r="F5" s="4" t="s">
        <v>8</v>
      </c>
      <c r="G5" s="5" t="s">
        <v>9</v>
      </c>
      <c r="J5" s="3" t="s">
        <v>7</v>
      </c>
      <c r="K5" s="4" t="s">
        <v>8</v>
      </c>
      <c r="L5" s="5" t="s">
        <v>9</v>
      </c>
      <c r="N5" s="3" t="s">
        <v>7</v>
      </c>
      <c r="O5" s="4" t="s">
        <v>8</v>
      </c>
      <c r="P5" s="5" t="s">
        <v>9</v>
      </c>
      <c r="R5" s="3" t="s">
        <v>7</v>
      </c>
      <c r="S5" s="4" t="s">
        <v>8</v>
      </c>
      <c r="T5" s="5" t="s">
        <v>9</v>
      </c>
    </row>
    <row r="6" spans="1:22">
      <c r="E6" s="6">
        <v>30</v>
      </c>
      <c r="F6" s="7">
        <v>217000</v>
      </c>
      <c r="G6" s="8">
        <f>+E6*F6</f>
        <v>6510000</v>
      </c>
      <c r="J6" s="6">
        <v>28</v>
      </c>
      <c r="K6" s="7">
        <v>645300</v>
      </c>
      <c r="L6" s="8">
        <f>+J6*K6</f>
        <v>18068400</v>
      </c>
      <c r="N6" s="6">
        <f>+J6</f>
        <v>28</v>
      </c>
      <c r="O6" s="7">
        <v>823500</v>
      </c>
      <c r="P6" s="9">
        <v>20587500</v>
      </c>
      <c r="R6" s="10">
        <f>+J6</f>
        <v>28</v>
      </c>
      <c r="S6" s="11">
        <v>1083300</v>
      </c>
      <c r="T6" s="12">
        <v>27082500</v>
      </c>
    </row>
    <row r="7" spans="1:22">
      <c r="E7" s="13">
        <v>40</v>
      </c>
      <c r="F7" s="7">
        <v>217000</v>
      </c>
      <c r="G7" s="8">
        <f t="shared" ref="G7:G9" si="0">+E7*F7</f>
        <v>8680000</v>
      </c>
      <c r="J7" s="13">
        <v>32.799999999999997</v>
      </c>
      <c r="K7" s="14">
        <f>+L7/J7</f>
        <v>688582.31707317079</v>
      </c>
      <c r="L7" s="15">
        <v>22585500</v>
      </c>
      <c r="N7" s="13">
        <v>35</v>
      </c>
      <c r="O7" s="14">
        <v>823500</v>
      </c>
      <c r="P7" s="16">
        <f>+N7*O7</f>
        <v>28822500</v>
      </c>
      <c r="R7" s="13">
        <v>35</v>
      </c>
      <c r="S7" s="14">
        <f>+T7/R7</f>
        <v>1083300</v>
      </c>
      <c r="T7" s="16">
        <v>37915500</v>
      </c>
    </row>
    <row r="8" spans="1:22" ht="15" thickBot="1">
      <c r="E8" s="17">
        <v>45</v>
      </c>
      <c r="F8" s="7">
        <v>217000</v>
      </c>
      <c r="G8" s="8">
        <f t="shared" si="0"/>
        <v>9765000</v>
      </c>
      <c r="J8" s="17">
        <v>46.1</v>
      </c>
      <c r="K8" s="18">
        <f>+L8/J8</f>
        <v>699891.54013015178</v>
      </c>
      <c r="L8" s="19">
        <v>32265000</v>
      </c>
      <c r="N8" s="17">
        <v>47</v>
      </c>
      <c r="O8" s="18">
        <f>+P8/N8</f>
        <v>876063.82978723408</v>
      </c>
      <c r="P8" s="20">
        <v>41175000</v>
      </c>
      <c r="R8" s="17">
        <v>47</v>
      </c>
      <c r="S8" s="18">
        <f>+T8/R8</f>
        <v>1152446.8085106383</v>
      </c>
      <c r="T8" s="20">
        <v>54165000</v>
      </c>
    </row>
    <row r="9" spans="1:22" ht="15" thickBot="1">
      <c r="E9" s="17">
        <v>50</v>
      </c>
      <c r="F9" s="7">
        <v>217000</v>
      </c>
      <c r="G9" s="8">
        <f t="shared" si="0"/>
        <v>10850000</v>
      </c>
      <c r="J9" s="17">
        <v>32</v>
      </c>
      <c r="K9" s="18">
        <f>+L9/J9</f>
        <v>1008281.25</v>
      </c>
      <c r="L9" s="19">
        <v>32265000</v>
      </c>
      <c r="N9" s="17">
        <v>52</v>
      </c>
      <c r="O9" s="18">
        <f>+P9/N9</f>
        <v>791826.92307692312</v>
      </c>
      <c r="P9" s="20">
        <v>41175000</v>
      </c>
      <c r="R9" s="17">
        <v>52</v>
      </c>
      <c r="S9" s="18">
        <f>+T9/R9</f>
        <v>1041634.6153846154</v>
      </c>
      <c r="T9" s="20">
        <v>54165000</v>
      </c>
    </row>
    <row r="10" spans="1:22">
      <c r="P10" s="21"/>
      <c r="T10" s="22"/>
    </row>
    <row r="11" spans="1:22" ht="15" thickBot="1">
      <c r="E11" s="1" t="s">
        <v>10</v>
      </c>
      <c r="J11" s="1" t="s">
        <v>10</v>
      </c>
      <c r="N11" s="1" t="s">
        <v>10</v>
      </c>
      <c r="P11" s="21"/>
      <c r="R11" s="1" t="s">
        <v>10</v>
      </c>
      <c r="T11" s="22"/>
    </row>
    <row r="12" spans="1:22" ht="15" thickBot="1">
      <c r="E12" s="23" t="s">
        <v>11</v>
      </c>
      <c r="F12" s="24" t="s">
        <v>2</v>
      </c>
      <c r="G12" s="25"/>
      <c r="J12" s="23" t="s">
        <v>11</v>
      </c>
      <c r="K12" s="24" t="s">
        <v>12</v>
      </c>
      <c r="L12" s="25"/>
      <c r="N12" s="26" t="s">
        <v>11</v>
      </c>
      <c r="O12" s="27" t="s">
        <v>13</v>
      </c>
      <c r="P12" s="28"/>
      <c r="R12" s="29" t="s">
        <v>11</v>
      </c>
      <c r="S12" s="30" t="s">
        <v>14</v>
      </c>
      <c r="T12" s="31"/>
    </row>
    <row r="13" spans="1:22" ht="15" thickBot="1">
      <c r="E13" s="32"/>
      <c r="J13" s="32"/>
    </row>
    <row r="14" spans="1:22" ht="15" thickBot="1">
      <c r="A14" s="33" t="s">
        <v>15</v>
      </c>
      <c r="B14" s="33" t="s">
        <v>16</v>
      </c>
      <c r="C14" s="33" t="s">
        <v>17</v>
      </c>
      <c r="E14" s="34" t="s">
        <v>18</v>
      </c>
      <c r="F14" s="34" t="s">
        <v>19</v>
      </c>
      <c r="G14" s="34" t="s">
        <v>20</v>
      </c>
      <c r="J14" s="34" t="s">
        <v>18</v>
      </c>
      <c r="K14" s="34" t="s">
        <v>19</v>
      </c>
      <c r="L14" s="34" t="s">
        <v>20</v>
      </c>
      <c r="N14" s="35" t="s">
        <v>18</v>
      </c>
      <c r="O14" s="35" t="s">
        <v>19</v>
      </c>
      <c r="P14" s="35" t="s">
        <v>20</v>
      </c>
      <c r="R14" s="36" t="s">
        <v>18</v>
      </c>
      <c r="S14" s="36" t="s">
        <v>19</v>
      </c>
      <c r="T14" s="36" t="s">
        <v>20</v>
      </c>
      <c r="V14" s="36" t="s">
        <v>21</v>
      </c>
    </row>
    <row r="15" spans="1:22" ht="29">
      <c r="A15" s="37" t="s">
        <v>22</v>
      </c>
      <c r="B15" s="38" t="s">
        <v>23</v>
      </c>
      <c r="C15" s="39" t="s">
        <v>24</v>
      </c>
      <c r="E15" s="40">
        <f>+E9</f>
        <v>50</v>
      </c>
      <c r="F15" s="41">
        <f>+K15*0.5</f>
        <v>25000</v>
      </c>
      <c r="G15" s="42">
        <f t="shared" ref="G15:G20" si="1">+E15*F15</f>
        <v>1250000</v>
      </c>
      <c r="J15" s="40">
        <f>+J9</f>
        <v>32</v>
      </c>
      <c r="K15" s="41">
        <f>50000</f>
        <v>50000</v>
      </c>
      <c r="L15" s="42">
        <f t="shared" ref="L15:L20" si="2">+J15*K15</f>
        <v>1600000</v>
      </c>
      <c r="N15" s="43">
        <f>+J15</f>
        <v>32</v>
      </c>
      <c r="O15" s="44">
        <v>50000</v>
      </c>
      <c r="P15" s="45">
        <f>+N15*O15</f>
        <v>1600000</v>
      </c>
      <c r="R15" s="46">
        <f t="shared" ref="R15:R20" si="3">+J15</f>
        <v>32</v>
      </c>
      <c r="S15" s="47">
        <f t="shared" ref="S15:S20" si="4">+K15</f>
        <v>50000</v>
      </c>
      <c r="T15" s="48">
        <f>+R15*S15</f>
        <v>1600000</v>
      </c>
    </row>
    <row r="16" spans="1:22" ht="35.25" customHeight="1">
      <c r="A16" s="49" t="s">
        <v>22</v>
      </c>
      <c r="B16" s="50" t="s">
        <v>25</v>
      </c>
      <c r="C16" s="51" t="s">
        <v>24</v>
      </c>
      <c r="E16" s="52">
        <f>+E15</f>
        <v>50</v>
      </c>
      <c r="F16" s="53">
        <v>40000</v>
      </c>
      <c r="G16" s="54">
        <f t="shared" si="1"/>
        <v>2000000</v>
      </c>
      <c r="J16" s="52">
        <f>+J15</f>
        <v>32</v>
      </c>
      <c r="K16" s="53">
        <f>94470</f>
        <v>94470</v>
      </c>
      <c r="L16" s="54">
        <f t="shared" si="2"/>
        <v>3023040</v>
      </c>
      <c r="N16" s="55">
        <f t="shared" ref="N16:N19" si="5">+J16</f>
        <v>32</v>
      </c>
      <c r="O16" s="56">
        <v>94470</v>
      </c>
      <c r="P16" s="57">
        <f>+N16*O16</f>
        <v>3023040</v>
      </c>
      <c r="R16" s="58">
        <f t="shared" si="3"/>
        <v>32</v>
      </c>
      <c r="S16" s="59">
        <f t="shared" si="4"/>
        <v>94470</v>
      </c>
      <c r="T16" s="60">
        <f>+R16*S16</f>
        <v>3023040</v>
      </c>
    </row>
    <row r="17" spans="1:22" ht="36" customHeight="1">
      <c r="A17" s="49" t="s">
        <v>26</v>
      </c>
      <c r="B17" s="50" t="s">
        <v>27</v>
      </c>
      <c r="C17" s="51" t="s">
        <v>24</v>
      </c>
      <c r="E17" s="52">
        <f>+E15*3</f>
        <v>150</v>
      </c>
      <c r="F17" s="53">
        <v>30000</v>
      </c>
      <c r="G17" s="54">
        <f t="shared" si="1"/>
        <v>4500000</v>
      </c>
      <c r="J17" s="52">
        <f>+J15*3</f>
        <v>96</v>
      </c>
      <c r="K17" s="53">
        <f>61750*0.6</f>
        <v>37050</v>
      </c>
      <c r="L17" s="54">
        <f t="shared" si="2"/>
        <v>3556800</v>
      </c>
      <c r="N17" s="55">
        <f t="shared" si="5"/>
        <v>96</v>
      </c>
      <c r="O17" s="56">
        <f>61750*0.6</f>
        <v>37050</v>
      </c>
      <c r="P17" s="57">
        <f>+N17*O17</f>
        <v>3556800</v>
      </c>
      <c r="R17" s="58">
        <f t="shared" si="3"/>
        <v>96</v>
      </c>
      <c r="S17" s="59">
        <f t="shared" si="4"/>
        <v>37050</v>
      </c>
      <c r="T17" s="60">
        <f>+R17*S17</f>
        <v>3556800</v>
      </c>
    </row>
    <row r="18" spans="1:22" ht="48" customHeight="1">
      <c r="A18" s="49" t="s">
        <v>26</v>
      </c>
      <c r="B18" s="50" t="s">
        <v>28</v>
      </c>
      <c r="C18" s="51" t="s">
        <v>24</v>
      </c>
      <c r="E18" s="52">
        <v>15</v>
      </c>
      <c r="F18" s="53">
        <v>40000</v>
      </c>
      <c r="G18" s="54">
        <f t="shared" si="1"/>
        <v>600000</v>
      </c>
      <c r="J18" s="52">
        <v>30</v>
      </c>
      <c r="K18" s="53">
        <f>94470*0.9</f>
        <v>85023</v>
      </c>
      <c r="L18" s="54">
        <f t="shared" si="2"/>
        <v>2550690</v>
      </c>
      <c r="N18" s="55">
        <v>30</v>
      </c>
      <c r="O18" s="56">
        <f>94470*0.9</f>
        <v>85023</v>
      </c>
      <c r="P18" s="57">
        <f t="shared" ref="P18:P20" si="6">+N18*O18</f>
        <v>2550690</v>
      </c>
      <c r="R18" s="58">
        <f t="shared" si="3"/>
        <v>30</v>
      </c>
      <c r="S18" s="59">
        <f t="shared" si="4"/>
        <v>85023</v>
      </c>
      <c r="T18" s="60">
        <f t="shared" ref="T18:T20" si="7">+R18*S18</f>
        <v>2550690</v>
      </c>
    </row>
    <row r="19" spans="1:22" ht="68.25" customHeight="1">
      <c r="A19" s="49" t="s">
        <v>29</v>
      </c>
      <c r="B19" s="50" t="s">
        <v>30</v>
      </c>
      <c r="C19" s="51" t="s">
        <v>24</v>
      </c>
      <c r="E19" s="52">
        <f>+E15</f>
        <v>50</v>
      </c>
      <c r="F19" s="53">
        <v>50000</v>
      </c>
      <c r="G19" s="54">
        <f t="shared" si="1"/>
        <v>2500000</v>
      </c>
      <c r="J19" s="52">
        <f>+J15</f>
        <v>32</v>
      </c>
      <c r="K19" s="53">
        <f>150000*0.935</f>
        <v>140250</v>
      </c>
      <c r="L19" s="54">
        <f t="shared" si="2"/>
        <v>4488000</v>
      </c>
      <c r="N19" s="55">
        <f t="shared" si="5"/>
        <v>32</v>
      </c>
      <c r="O19" s="56">
        <f>150000*0.935</f>
        <v>140250</v>
      </c>
      <c r="P19" s="57">
        <f t="shared" si="6"/>
        <v>4488000</v>
      </c>
      <c r="R19" s="58">
        <f t="shared" si="3"/>
        <v>32</v>
      </c>
      <c r="S19" s="59">
        <f t="shared" si="4"/>
        <v>140250</v>
      </c>
      <c r="T19" s="60">
        <f t="shared" si="7"/>
        <v>4488000</v>
      </c>
    </row>
    <row r="20" spans="1:22" ht="15" thickBot="1">
      <c r="A20" s="61" t="s">
        <v>31</v>
      </c>
      <c r="B20" s="62" t="s">
        <v>32</v>
      </c>
      <c r="C20" s="63" t="s">
        <v>24</v>
      </c>
      <c r="E20" s="64">
        <f>+E15</f>
        <v>50</v>
      </c>
      <c r="F20" s="65"/>
      <c r="G20" s="66">
        <f t="shared" si="1"/>
        <v>0</v>
      </c>
      <c r="J20" s="67">
        <f>+J15</f>
        <v>32</v>
      </c>
      <c r="K20" s="68">
        <f>12000</f>
        <v>12000</v>
      </c>
      <c r="L20" s="69">
        <f t="shared" si="2"/>
        <v>384000</v>
      </c>
      <c r="N20" s="70">
        <f>+N15</f>
        <v>32</v>
      </c>
      <c r="O20" s="71">
        <v>12000</v>
      </c>
      <c r="P20" s="72">
        <f t="shared" si="6"/>
        <v>384000</v>
      </c>
      <c r="R20" s="73">
        <f t="shared" si="3"/>
        <v>32</v>
      </c>
      <c r="S20" s="74">
        <f t="shared" si="4"/>
        <v>12000</v>
      </c>
      <c r="T20" s="75">
        <f t="shared" si="7"/>
        <v>384000</v>
      </c>
    </row>
    <row r="21" spans="1:22" ht="29">
      <c r="A21" s="49" t="s">
        <v>26</v>
      </c>
      <c r="B21" s="50" t="s">
        <v>33</v>
      </c>
      <c r="C21" s="51" t="s">
        <v>24</v>
      </c>
      <c r="E21" s="52"/>
      <c r="F21" s="53"/>
      <c r="G21" s="54"/>
      <c r="J21" s="37"/>
      <c r="K21" s="76">
        <f>94470*0.9</f>
        <v>85023</v>
      </c>
      <c r="L21" s="77" t="s">
        <v>34</v>
      </c>
      <c r="N21" s="55"/>
      <c r="O21" s="56">
        <f>94470*0.9</f>
        <v>85023</v>
      </c>
      <c r="P21" s="57" t="s">
        <v>34</v>
      </c>
      <c r="R21" s="46"/>
      <c r="S21" s="47">
        <v>1275345</v>
      </c>
      <c r="T21" s="48">
        <f>+R21*S21</f>
        <v>0</v>
      </c>
    </row>
    <row r="22" spans="1:22">
      <c r="A22" s="78" t="s">
        <v>35</v>
      </c>
      <c r="B22" s="50" t="s">
        <v>36</v>
      </c>
      <c r="C22" s="78" t="s">
        <v>37</v>
      </c>
      <c r="E22" s="52"/>
      <c r="F22" s="53"/>
      <c r="G22" s="54"/>
      <c r="J22" s="49"/>
      <c r="K22" s="79"/>
      <c r="L22" s="80" t="s">
        <v>34</v>
      </c>
      <c r="M22" s="81"/>
      <c r="N22" s="82">
        <v>3</v>
      </c>
      <c r="O22" s="56">
        <v>800000</v>
      </c>
      <c r="P22" s="83">
        <f>+N22*O22</f>
        <v>2400000</v>
      </c>
      <c r="R22" s="58">
        <f>+N22</f>
        <v>3</v>
      </c>
      <c r="S22" s="59">
        <f>+O22</f>
        <v>800000</v>
      </c>
      <c r="T22" s="60">
        <f>+R22*S22</f>
        <v>2400000</v>
      </c>
    </row>
    <row r="23" spans="1:22">
      <c r="A23" s="84" t="s">
        <v>35</v>
      </c>
      <c r="B23" s="85" t="s">
        <v>38</v>
      </c>
      <c r="C23" s="86" t="s">
        <v>37</v>
      </c>
      <c r="E23" s="84"/>
      <c r="F23" s="87"/>
      <c r="G23" s="88"/>
      <c r="J23" s="84"/>
      <c r="K23" s="87"/>
      <c r="L23" s="88"/>
      <c r="N23" s="89">
        <v>1</v>
      </c>
      <c r="O23" s="90">
        <v>1000000</v>
      </c>
      <c r="P23" s="91">
        <f t="shared" ref="P23" si="8">+N23*O23</f>
        <v>1000000</v>
      </c>
      <c r="R23" s="58"/>
      <c r="S23" s="59"/>
      <c r="T23" s="60"/>
    </row>
    <row r="24" spans="1:22" ht="29">
      <c r="A24" s="49" t="s">
        <v>35</v>
      </c>
      <c r="B24" s="50" t="s">
        <v>39</v>
      </c>
      <c r="C24" s="51" t="s">
        <v>37</v>
      </c>
      <c r="E24" s="49"/>
      <c r="F24" s="79"/>
      <c r="G24" s="92" t="s">
        <v>34</v>
      </c>
      <c r="J24" s="49"/>
      <c r="K24" s="79"/>
      <c r="L24" s="92" t="s">
        <v>34</v>
      </c>
      <c r="N24" s="55">
        <v>2</v>
      </c>
      <c r="O24" s="56">
        <v>1800000</v>
      </c>
      <c r="P24" s="57">
        <f>+N24*O24</f>
        <v>3600000</v>
      </c>
      <c r="R24" s="58">
        <f>+N24</f>
        <v>2</v>
      </c>
      <c r="S24" s="59">
        <f t="shared" ref="S24:S32" si="9">+O24</f>
        <v>1800000</v>
      </c>
      <c r="T24" s="60">
        <f>+R24*S24</f>
        <v>3600000</v>
      </c>
    </row>
    <row r="25" spans="1:22">
      <c r="A25" s="49" t="s">
        <v>35</v>
      </c>
      <c r="B25" s="50" t="s">
        <v>40</v>
      </c>
      <c r="C25" s="51" t="s">
        <v>37</v>
      </c>
      <c r="E25" s="49"/>
      <c r="F25" s="79"/>
      <c r="G25" s="92" t="s">
        <v>34</v>
      </c>
      <c r="J25" s="49"/>
      <c r="K25" s="79"/>
      <c r="L25" s="92" t="s">
        <v>34</v>
      </c>
      <c r="N25" s="55">
        <v>1</v>
      </c>
      <c r="O25" s="56">
        <v>1600000</v>
      </c>
      <c r="P25" s="57">
        <f>+N25*O25</f>
        <v>1600000</v>
      </c>
      <c r="R25" s="58">
        <f>+N25</f>
        <v>1</v>
      </c>
      <c r="S25" s="59">
        <f t="shared" si="9"/>
        <v>1600000</v>
      </c>
      <c r="T25" s="60">
        <f>+R25*S25</f>
        <v>1600000</v>
      </c>
    </row>
    <row r="26" spans="1:22" ht="31.5" customHeight="1">
      <c r="A26" s="49" t="s">
        <v>35</v>
      </c>
      <c r="B26" s="50" t="s">
        <v>41</v>
      </c>
      <c r="C26" s="51" t="s">
        <v>37</v>
      </c>
      <c r="E26" s="49"/>
      <c r="F26" s="79"/>
      <c r="G26" s="92" t="s">
        <v>34</v>
      </c>
      <c r="J26" s="49"/>
      <c r="K26" s="79"/>
      <c r="L26" s="92" t="s">
        <v>34</v>
      </c>
      <c r="N26" s="55">
        <v>1</v>
      </c>
      <c r="O26" s="56"/>
      <c r="P26" s="57" t="s">
        <v>34</v>
      </c>
      <c r="R26" s="58">
        <f>+N26</f>
        <v>1</v>
      </c>
      <c r="S26" s="59">
        <v>1600000</v>
      </c>
      <c r="T26" s="60">
        <f>+R26*S26</f>
        <v>1600000</v>
      </c>
    </row>
    <row r="27" spans="1:22" ht="29">
      <c r="A27" s="49" t="s">
        <v>35</v>
      </c>
      <c r="B27" s="50" t="s">
        <v>42</v>
      </c>
      <c r="C27" s="51" t="s">
        <v>37</v>
      </c>
      <c r="E27" s="49"/>
      <c r="F27" s="79"/>
      <c r="G27" s="92" t="s">
        <v>34</v>
      </c>
      <c r="J27" s="49"/>
      <c r="K27" s="79"/>
      <c r="L27" s="92" t="s">
        <v>34</v>
      </c>
      <c r="N27" s="55">
        <v>1</v>
      </c>
      <c r="O27" s="56">
        <v>850000</v>
      </c>
      <c r="P27" s="57">
        <f>+N27*O27</f>
        <v>850000</v>
      </c>
      <c r="R27" s="58">
        <f>+N27</f>
        <v>1</v>
      </c>
      <c r="S27" s="59">
        <f t="shared" si="9"/>
        <v>850000</v>
      </c>
      <c r="T27" s="60" t="s">
        <v>34</v>
      </c>
    </row>
    <row r="28" spans="1:22">
      <c r="A28" s="49" t="s">
        <v>35</v>
      </c>
      <c r="B28" s="93" t="s">
        <v>43</v>
      </c>
      <c r="C28" s="51" t="s">
        <v>37</v>
      </c>
      <c r="E28" s="49"/>
      <c r="F28" s="79"/>
      <c r="G28" s="92" t="s">
        <v>34</v>
      </c>
      <c r="J28" s="49"/>
      <c r="K28" s="79"/>
      <c r="L28" s="92" t="s">
        <v>34</v>
      </c>
      <c r="N28" s="55">
        <v>0</v>
      </c>
      <c r="O28" s="56">
        <v>500000</v>
      </c>
      <c r="P28" s="57">
        <f t="shared" ref="P28:P32" si="10">+N28*O28</f>
        <v>0</v>
      </c>
      <c r="R28" s="58">
        <f t="shared" ref="R28:R32" si="11">+N28</f>
        <v>0</v>
      </c>
      <c r="S28" s="59">
        <f t="shared" si="9"/>
        <v>500000</v>
      </c>
      <c r="T28" s="60">
        <f t="shared" ref="T28:T30" si="12">+R28*S28</f>
        <v>0</v>
      </c>
    </row>
    <row r="29" spans="1:22">
      <c r="A29" s="49" t="s">
        <v>35</v>
      </c>
      <c r="B29" s="50" t="s">
        <v>44</v>
      </c>
      <c r="C29" s="51" t="s">
        <v>37</v>
      </c>
      <c r="E29" s="49"/>
      <c r="F29" s="79"/>
      <c r="G29" s="92" t="s">
        <v>34</v>
      </c>
      <c r="J29" s="49"/>
      <c r="K29" s="79"/>
      <c r="L29" s="92" t="s">
        <v>34</v>
      </c>
      <c r="N29" s="55">
        <v>1</v>
      </c>
      <c r="O29" s="56">
        <v>500000</v>
      </c>
      <c r="P29" s="57">
        <f t="shared" si="10"/>
        <v>500000</v>
      </c>
      <c r="R29" s="58">
        <f t="shared" si="11"/>
        <v>1</v>
      </c>
      <c r="S29" s="59">
        <f t="shared" si="9"/>
        <v>500000</v>
      </c>
      <c r="T29" s="60">
        <f t="shared" si="12"/>
        <v>500000</v>
      </c>
    </row>
    <row r="30" spans="1:22" ht="29">
      <c r="A30" s="49" t="s">
        <v>45</v>
      </c>
      <c r="B30" s="50" t="s">
        <v>46</v>
      </c>
      <c r="C30" s="51" t="s">
        <v>37</v>
      </c>
      <c r="E30" s="49"/>
      <c r="F30" s="79"/>
      <c r="G30" s="92" t="s">
        <v>34</v>
      </c>
      <c r="J30" s="49"/>
      <c r="K30" s="79"/>
      <c r="L30" s="92" t="s">
        <v>34</v>
      </c>
      <c r="N30" s="55"/>
      <c r="O30" s="56">
        <v>300000</v>
      </c>
      <c r="P30" s="57">
        <f t="shared" si="10"/>
        <v>0</v>
      </c>
      <c r="R30" s="58">
        <f t="shared" si="11"/>
        <v>0</v>
      </c>
      <c r="S30" s="59">
        <f t="shared" si="9"/>
        <v>300000</v>
      </c>
      <c r="T30" s="60">
        <f t="shared" si="12"/>
        <v>0</v>
      </c>
      <c r="V30" s="94" t="s">
        <v>47</v>
      </c>
    </row>
    <row r="31" spans="1:22" ht="29">
      <c r="A31" s="49" t="s">
        <v>48</v>
      </c>
      <c r="B31" s="50" t="s">
        <v>49</v>
      </c>
      <c r="C31" s="51" t="s">
        <v>37</v>
      </c>
      <c r="E31" s="49"/>
      <c r="F31" s="79"/>
      <c r="G31" s="92" t="s">
        <v>34</v>
      </c>
      <c r="J31" s="52">
        <v>1</v>
      </c>
      <c r="K31" s="53">
        <v>1000000</v>
      </c>
      <c r="L31" s="54">
        <f>+J31*K31</f>
        <v>1000000</v>
      </c>
      <c r="N31" s="55">
        <v>1</v>
      </c>
      <c r="O31" s="56">
        <v>1000000</v>
      </c>
      <c r="P31" s="57">
        <f t="shared" si="10"/>
        <v>1000000</v>
      </c>
      <c r="R31" s="58">
        <f t="shared" si="11"/>
        <v>1</v>
      </c>
      <c r="S31" s="59">
        <f t="shared" si="9"/>
        <v>1000000</v>
      </c>
      <c r="T31" s="60">
        <f>+R31*S31</f>
        <v>1000000</v>
      </c>
    </row>
    <row r="32" spans="1:22" ht="15" thickBot="1">
      <c r="A32" s="95" t="s">
        <v>48</v>
      </c>
      <c r="B32" s="96" t="s">
        <v>50</v>
      </c>
      <c r="C32" s="97" t="s">
        <v>37</v>
      </c>
      <c r="E32" s="61"/>
      <c r="F32" s="98"/>
      <c r="G32" s="99" t="s">
        <v>34</v>
      </c>
      <c r="J32" s="61"/>
      <c r="K32" s="98"/>
      <c r="L32" s="99" t="s">
        <v>34</v>
      </c>
      <c r="N32" s="55">
        <v>1</v>
      </c>
      <c r="O32" s="100">
        <v>500000</v>
      </c>
      <c r="P32" s="101">
        <f t="shared" si="10"/>
        <v>500000</v>
      </c>
      <c r="R32" s="102">
        <f t="shared" si="11"/>
        <v>1</v>
      </c>
      <c r="S32" s="103">
        <f t="shared" si="9"/>
        <v>500000</v>
      </c>
      <c r="T32" s="104">
        <f>+R32*S32</f>
        <v>500000</v>
      </c>
    </row>
    <row r="33" spans="1:27" ht="29">
      <c r="A33" s="37" t="s">
        <v>45</v>
      </c>
      <c r="B33" s="38" t="s">
        <v>51</v>
      </c>
      <c r="C33" s="39" t="s">
        <v>37</v>
      </c>
      <c r="E33" s="37"/>
      <c r="F33" s="76"/>
      <c r="G33" s="105" t="s">
        <v>34</v>
      </c>
      <c r="J33" s="37"/>
      <c r="K33" s="76"/>
      <c r="L33" s="105" t="s">
        <v>34</v>
      </c>
      <c r="N33" s="37"/>
      <c r="O33" s="76"/>
      <c r="P33" s="105" t="s">
        <v>34</v>
      </c>
      <c r="R33" s="106">
        <v>1</v>
      </c>
      <c r="S33" s="107">
        <v>1000000</v>
      </c>
      <c r="T33" s="108">
        <f t="shared" ref="T33:T54" si="13">+R33*S33</f>
        <v>1000000</v>
      </c>
      <c r="V33" s="94" t="s">
        <v>52</v>
      </c>
      <c r="W33" t="s">
        <v>53</v>
      </c>
    </row>
    <row r="34" spans="1:27" ht="29">
      <c r="A34" s="49" t="s">
        <v>45</v>
      </c>
      <c r="B34" s="50" t="s">
        <v>54</v>
      </c>
      <c r="C34" s="51" t="s">
        <v>37</v>
      </c>
      <c r="E34" s="49"/>
      <c r="F34" s="79"/>
      <c r="G34" s="92" t="s">
        <v>34</v>
      </c>
      <c r="J34" s="49"/>
      <c r="K34" s="79"/>
      <c r="L34" s="92" t="s">
        <v>34</v>
      </c>
      <c r="N34" s="49"/>
      <c r="O34" s="79"/>
      <c r="P34" s="92" t="s">
        <v>34</v>
      </c>
      <c r="R34" s="58">
        <v>1</v>
      </c>
      <c r="S34" s="59">
        <v>1000000</v>
      </c>
      <c r="T34" s="60">
        <f t="shared" si="13"/>
        <v>1000000</v>
      </c>
      <c r="V34" s="94" t="s">
        <v>55</v>
      </c>
    </row>
    <row r="35" spans="1:27">
      <c r="A35" s="49" t="s">
        <v>56</v>
      </c>
      <c r="B35" s="50" t="s">
        <v>57</v>
      </c>
      <c r="C35" s="51" t="s">
        <v>37</v>
      </c>
      <c r="E35" s="49"/>
      <c r="F35" s="79"/>
      <c r="G35" s="92" t="s">
        <v>34</v>
      </c>
      <c r="J35" s="49"/>
      <c r="K35" s="79"/>
      <c r="L35" s="92" t="s">
        <v>34</v>
      </c>
      <c r="N35" s="49"/>
      <c r="O35" s="79"/>
      <c r="P35" s="92" t="s">
        <v>34</v>
      </c>
      <c r="R35" s="58">
        <v>1</v>
      </c>
      <c r="S35" s="59">
        <v>250000</v>
      </c>
      <c r="T35" s="60">
        <f t="shared" si="13"/>
        <v>250000</v>
      </c>
    </row>
    <row r="36" spans="1:27" ht="64.5" customHeight="1">
      <c r="A36" s="49" t="s">
        <v>58</v>
      </c>
      <c r="B36" s="50" t="s">
        <v>59</v>
      </c>
      <c r="C36" s="51" t="s">
        <v>37</v>
      </c>
      <c r="E36" s="49"/>
      <c r="F36" s="79"/>
      <c r="G36" s="92" t="s">
        <v>34</v>
      </c>
      <c r="J36" s="49"/>
      <c r="K36" s="79"/>
      <c r="L36" s="92" t="s">
        <v>34</v>
      </c>
      <c r="N36" s="49"/>
      <c r="O36" s="79"/>
      <c r="P36" s="92" t="s">
        <v>34</v>
      </c>
      <c r="R36" s="58">
        <v>1</v>
      </c>
      <c r="S36" s="59">
        <v>900000</v>
      </c>
      <c r="T36" s="60">
        <f t="shared" si="13"/>
        <v>900000</v>
      </c>
      <c r="V36" s="94"/>
      <c r="X36" s="109" t="s">
        <v>60</v>
      </c>
      <c r="Y36" s="109" t="s">
        <v>61</v>
      </c>
      <c r="Z36" s="109" t="s">
        <v>62</v>
      </c>
      <c r="AA36" s="110"/>
    </row>
    <row r="37" spans="1:27" ht="64.5" customHeight="1">
      <c r="A37" s="49" t="s">
        <v>58</v>
      </c>
      <c r="B37" s="50" t="s">
        <v>63</v>
      </c>
      <c r="C37" s="51" t="s">
        <v>37</v>
      </c>
      <c r="E37" s="49"/>
      <c r="F37" s="79"/>
      <c r="G37" s="92" t="s">
        <v>34</v>
      </c>
      <c r="J37" s="49"/>
      <c r="K37" s="79"/>
      <c r="L37" s="92" t="s">
        <v>34</v>
      </c>
      <c r="N37" s="49"/>
      <c r="O37" s="79"/>
      <c r="P37" s="92" t="s">
        <v>34</v>
      </c>
      <c r="R37" s="58">
        <v>1</v>
      </c>
      <c r="S37" s="59">
        <v>200000</v>
      </c>
      <c r="T37" s="60">
        <f t="shared" si="13"/>
        <v>200000</v>
      </c>
      <c r="X37" s="109" t="s">
        <v>64</v>
      </c>
      <c r="Y37" s="109" t="s">
        <v>65</v>
      </c>
      <c r="Z37" s="109" t="s">
        <v>66</v>
      </c>
      <c r="AA37" s="110" t="s">
        <v>67</v>
      </c>
    </row>
    <row r="38" spans="1:27" ht="25.5" customHeight="1">
      <c r="A38" s="49" t="s">
        <v>58</v>
      </c>
      <c r="B38" s="50" t="s">
        <v>68</v>
      </c>
      <c r="C38" s="51" t="s">
        <v>37</v>
      </c>
      <c r="E38" s="49"/>
      <c r="F38" s="79"/>
      <c r="G38" s="92" t="s">
        <v>34</v>
      </c>
      <c r="J38" s="49"/>
      <c r="K38" s="79"/>
      <c r="L38" s="92" t="s">
        <v>34</v>
      </c>
      <c r="N38" s="49"/>
      <c r="O38" s="79"/>
      <c r="P38" s="92" t="s">
        <v>34</v>
      </c>
      <c r="R38" s="58">
        <v>1</v>
      </c>
      <c r="S38" s="59">
        <v>56900</v>
      </c>
      <c r="T38" s="60">
        <f t="shared" si="13"/>
        <v>56900</v>
      </c>
      <c r="V38" s="94" t="s">
        <v>69</v>
      </c>
      <c r="X38" s="111">
        <v>449900</v>
      </c>
      <c r="Y38" s="111">
        <v>249900</v>
      </c>
      <c r="Z38" s="111">
        <v>199900</v>
      </c>
      <c r="AA38" s="111">
        <f>+X38+Y38+Z38</f>
        <v>899700</v>
      </c>
    </row>
    <row r="39" spans="1:27">
      <c r="A39" s="49" t="s">
        <v>58</v>
      </c>
      <c r="B39" s="50" t="s">
        <v>70</v>
      </c>
      <c r="C39" s="51" t="s">
        <v>37</v>
      </c>
      <c r="E39" s="49"/>
      <c r="F39" s="79"/>
      <c r="G39" s="92" t="s">
        <v>34</v>
      </c>
      <c r="J39" s="49"/>
      <c r="K39" s="79"/>
      <c r="L39" s="92" t="s">
        <v>34</v>
      </c>
      <c r="N39" s="49"/>
      <c r="O39" s="79"/>
      <c r="P39" s="92" t="s">
        <v>34</v>
      </c>
      <c r="R39" s="58">
        <v>1</v>
      </c>
      <c r="S39" s="59">
        <v>50000</v>
      </c>
      <c r="T39" s="60">
        <f t="shared" si="13"/>
        <v>50000</v>
      </c>
    </row>
    <row r="40" spans="1:27">
      <c r="A40" s="49" t="s">
        <v>58</v>
      </c>
      <c r="B40" s="50" t="s">
        <v>71</v>
      </c>
      <c r="C40" s="51" t="s">
        <v>37</v>
      </c>
      <c r="E40" s="49"/>
      <c r="F40" s="79"/>
      <c r="G40" s="92" t="s">
        <v>34</v>
      </c>
      <c r="J40" s="49"/>
      <c r="K40" s="79"/>
      <c r="L40" s="92" t="s">
        <v>34</v>
      </c>
      <c r="N40" s="49"/>
      <c r="O40" s="79"/>
      <c r="P40" s="92" t="s">
        <v>34</v>
      </c>
      <c r="R40" s="58">
        <v>1</v>
      </c>
      <c r="S40" s="59">
        <v>56900</v>
      </c>
      <c r="T40" s="60">
        <f t="shared" si="13"/>
        <v>56900</v>
      </c>
    </row>
    <row r="41" spans="1:27">
      <c r="A41" s="49" t="s">
        <v>58</v>
      </c>
      <c r="B41" s="50" t="s">
        <v>72</v>
      </c>
      <c r="C41" s="51" t="s">
        <v>37</v>
      </c>
      <c r="E41" s="49"/>
      <c r="F41" s="79"/>
      <c r="G41" s="92" t="s">
        <v>34</v>
      </c>
      <c r="J41" s="49"/>
      <c r="K41" s="79"/>
      <c r="L41" s="92" t="s">
        <v>34</v>
      </c>
      <c r="N41" s="49"/>
      <c r="O41" s="79"/>
      <c r="P41" s="92" t="s">
        <v>34</v>
      </c>
      <c r="R41" s="58">
        <v>1</v>
      </c>
      <c r="S41" s="59">
        <v>50000</v>
      </c>
      <c r="T41" s="60">
        <f t="shared" si="13"/>
        <v>50000</v>
      </c>
    </row>
    <row r="42" spans="1:27" ht="29">
      <c r="A42" s="49" t="s">
        <v>58</v>
      </c>
      <c r="B42" s="50" t="s">
        <v>73</v>
      </c>
      <c r="C42" s="51" t="s">
        <v>37</v>
      </c>
      <c r="E42" s="49"/>
      <c r="F42" s="79"/>
      <c r="G42" s="92" t="s">
        <v>34</v>
      </c>
      <c r="J42" s="49"/>
      <c r="K42" s="79"/>
      <c r="L42" s="92" t="s">
        <v>34</v>
      </c>
      <c r="N42" s="49"/>
      <c r="O42" s="79"/>
      <c r="P42" s="92" t="s">
        <v>34</v>
      </c>
      <c r="R42" s="58">
        <v>1</v>
      </c>
      <c r="S42" s="59">
        <v>108900</v>
      </c>
      <c r="T42" s="60">
        <f t="shared" si="13"/>
        <v>108900</v>
      </c>
      <c r="V42" s="152" t="s">
        <v>74</v>
      </c>
      <c r="W42" s="153"/>
      <c r="X42" s="153"/>
      <c r="Y42" s="154"/>
    </row>
    <row r="43" spans="1:27" ht="29">
      <c r="A43" s="49" t="s">
        <v>58</v>
      </c>
      <c r="B43" s="50" t="s">
        <v>75</v>
      </c>
      <c r="C43" s="51" t="s">
        <v>37</v>
      </c>
      <c r="E43" s="49"/>
      <c r="F43" s="79"/>
      <c r="G43" s="92" t="s">
        <v>34</v>
      </c>
      <c r="J43" s="49"/>
      <c r="K43" s="79"/>
      <c r="L43" s="92" t="s">
        <v>34</v>
      </c>
      <c r="N43" s="49"/>
      <c r="O43" s="79"/>
      <c r="P43" s="92" t="s">
        <v>34</v>
      </c>
      <c r="R43" s="58">
        <v>1</v>
      </c>
      <c r="S43" s="59">
        <v>50000</v>
      </c>
      <c r="T43" s="60">
        <f t="shared" si="13"/>
        <v>50000</v>
      </c>
      <c r="V43" t="s">
        <v>76</v>
      </c>
    </row>
    <row r="44" spans="1:27" ht="29">
      <c r="A44" s="49" t="s">
        <v>77</v>
      </c>
      <c r="B44" s="50" t="s">
        <v>78</v>
      </c>
      <c r="C44" s="51" t="s">
        <v>37</v>
      </c>
      <c r="E44" s="49"/>
      <c r="F44" s="79"/>
      <c r="G44" s="92" t="s">
        <v>34</v>
      </c>
      <c r="J44" s="49"/>
      <c r="K44" s="79"/>
      <c r="L44" s="92" t="s">
        <v>34</v>
      </c>
      <c r="N44" s="49"/>
      <c r="O44" s="79"/>
      <c r="P44" s="92" t="s">
        <v>34</v>
      </c>
      <c r="R44" s="58">
        <v>1</v>
      </c>
      <c r="S44" s="59">
        <v>100000</v>
      </c>
      <c r="T44" s="60">
        <f t="shared" si="13"/>
        <v>100000</v>
      </c>
      <c r="V44" s="94" t="s">
        <v>79</v>
      </c>
    </row>
    <row r="45" spans="1:27" ht="29">
      <c r="A45" s="49" t="s">
        <v>77</v>
      </c>
      <c r="B45" s="50" t="s">
        <v>80</v>
      </c>
      <c r="C45" s="51" t="s">
        <v>37</v>
      </c>
      <c r="E45" s="49"/>
      <c r="F45" s="79"/>
      <c r="G45" s="92" t="s">
        <v>34</v>
      </c>
      <c r="J45" s="49"/>
      <c r="K45" s="79"/>
      <c r="L45" s="92" t="s">
        <v>34</v>
      </c>
      <c r="N45" s="49"/>
      <c r="O45" s="79"/>
      <c r="P45" s="92" t="s">
        <v>34</v>
      </c>
      <c r="R45" s="58">
        <v>1</v>
      </c>
      <c r="S45" s="59">
        <v>50000</v>
      </c>
      <c r="T45" s="60">
        <f t="shared" si="13"/>
        <v>50000</v>
      </c>
    </row>
    <row r="46" spans="1:27" ht="43.5">
      <c r="A46" s="49" t="s">
        <v>77</v>
      </c>
      <c r="B46" s="50" t="s">
        <v>81</v>
      </c>
      <c r="C46" s="51" t="s">
        <v>37</v>
      </c>
      <c r="E46" s="49"/>
      <c r="F46" s="79"/>
      <c r="G46" s="92" t="s">
        <v>34</v>
      </c>
      <c r="J46" s="49"/>
      <c r="K46" s="79"/>
      <c r="L46" s="92" t="s">
        <v>34</v>
      </c>
      <c r="N46" s="49"/>
      <c r="O46" s="79"/>
      <c r="P46" s="92" t="s">
        <v>34</v>
      </c>
      <c r="R46" s="58">
        <v>1</v>
      </c>
      <c r="S46" s="59">
        <v>58900</v>
      </c>
      <c r="T46" s="60">
        <f t="shared" si="13"/>
        <v>58900</v>
      </c>
      <c r="V46" s="94" t="s">
        <v>82</v>
      </c>
    </row>
    <row r="47" spans="1:27" ht="58">
      <c r="A47" s="49" t="s">
        <v>77</v>
      </c>
      <c r="B47" s="50" t="s">
        <v>83</v>
      </c>
      <c r="C47" s="51" t="s">
        <v>37</v>
      </c>
      <c r="E47" s="49"/>
      <c r="F47" s="79"/>
      <c r="G47" s="92" t="s">
        <v>34</v>
      </c>
      <c r="J47" s="49"/>
      <c r="K47" s="79"/>
      <c r="L47" s="92" t="s">
        <v>34</v>
      </c>
      <c r="N47" s="49"/>
      <c r="O47" s="79"/>
      <c r="P47" s="92" t="s">
        <v>34</v>
      </c>
      <c r="R47" s="58">
        <v>1</v>
      </c>
      <c r="S47" s="59">
        <v>50000</v>
      </c>
      <c r="T47" s="60">
        <f t="shared" si="13"/>
        <v>50000</v>
      </c>
    </row>
    <row r="48" spans="1:27" ht="44.25" customHeight="1">
      <c r="A48" s="49" t="s">
        <v>77</v>
      </c>
      <c r="B48" s="50" t="s">
        <v>84</v>
      </c>
      <c r="C48" s="51" t="s">
        <v>37</v>
      </c>
      <c r="E48" s="49"/>
      <c r="F48" s="79"/>
      <c r="G48" s="92" t="s">
        <v>34</v>
      </c>
      <c r="J48" s="49"/>
      <c r="K48" s="79"/>
      <c r="L48" s="92" t="s">
        <v>34</v>
      </c>
      <c r="N48" s="49"/>
      <c r="O48" s="79"/>
      <c r="P48" s="92" t="s">
        <v>34</v>
      </c>
      <c r="R48" s="58">
        <v>1</v>
      </c>
      <c r="S48" s="59">
        <v>339900</v>
      </c>
      <c r="T48" s="60">
        <f t="shared" si="13"/>
        <v>339900</v>
      </c>
      <c r="V48" s="94" t="s">
        <v>85</v>
      </c>
    </row>
    <row r="49" spans="1:22" ht="29">
      <c r="A49" s="49" t="s">
        <v>86</v>
      </c>
      <c r="B49" s="50" t="s">
        <v>87</v>
      </c>
      <c r="C49" s="51" t="s">
        <v>37</v>
      </c>
      <c r="E49" s="49"/>
      <c r="F49" s="79"/>
      <c r="G49" s="92" t="s">
        <v>34</v>
      </c>
      <c r="J49" s="49"/>
      <c r="K49" s="79"/>
      <c r="L49" s="92" t="s">
        <v>34</v>
      </c>
      <c r="N49" s="49"/>
      <c r="O49" s="79"/>
      <c r="P49" s="92" t="s">
        <v>34</v>
      </c>
      <c r="R49" s="58">
        <v>1</v>
      </c>
      <c r="S49" s="59">
        <v>50000</v>
      </c>
      <c r="T49" s="60">
        <f t="shared" si="13"/>
        <v>50000</v>
      </c>
    </row>
    <row r="50" spans="1:22" ht="17.25" customHeight="1">
      <c r="A50" s="49" t="s">
        <v>88</v>
      </c>
      <c r="B50" s="50" t="s">
        <v>89</v>
      </c>
      <c r="C50" s="51" t="s">
        <v>37</v>
      </c>
      <c r="E50" s="49"/>
      <c r="F50" s="79"/>
      <c r="G50" s="92" t="s">
        <v>34</v>
      </c>
      <c r="J50" s="49"/>
      <c r="K50" s="79"/>
      <c r="L50" s="92" t="s">
        <v>34</v>
      </c>
      <c r="N50" s="49"/>
      <c r="O50" s="79"/>
      <c r="P50" s="92" t="s">
        <v>34</v>
      </c>
      <c r="R50" s="58">
        <v>1</v>
      </c>
      <c r="S50" s="59">
        <v>1400000</v>
      </c>
      <c r="T50" s="60">
        <f t="shared" si="13"/>
        <v>1400000</v>
      </c>
    </row>
    <row r="51" spans="1:22">
      <c r="A51" s="49" t="s">
        <v>88</v>
      </c>
      <c r="B51" s="50" t="s">
        <v>90</v>
      </c>
      <c r="C51" s="51" t="s">
        <v>37</v>
      </c>
      <c r="E51" s="49"/>
      <c r="F51" s="79"/>
      <c r="G51" s="92" t="s">
        <v>34</v>
      </c>
      <c r="J51" s="49"/>
      <c r="K51" s="79"/>
      <c r="L51" s="92" t="s">
        <v>34</v>
      </c>
      <c r="N51" s="49"/>
      <c r="O51" s="79"/>
      <c r="P51" s="92" t="s">
        <v>34</v>
      </c>
      <c r="R51" s="58">
        <v>1</v>
      </c>
      <c r="S51" s="59">
        <v>850000</v>
      </c>
      <c r="T51" s="60">
        <f t="shared" si="13"/>
        <v>850000</v>
      </c>
    </row>
    <row r="52" spans="1:22">
      <c r="A52" s="49" t="s">
        <v>88</v>
      </c>
      <c r="B52" s="50" t="s">
        <v>91</v>
      </c>
      <c r="C52" s="51" t="s">
        <v>37</v>
      </c>
      <c r="E52" s="49"/>
      <c r="F52" s="79"/>
      <c r="G52" s="92" t="s">
        <v>34</v>
      </c>
      <c r="J52" s="49"/>
      <c r="K52" s="79"/>
      <c r="L52" s="92" t="s">
        <v>34</v>
      </c>
      <c r="N52" s="49"/>
      <c r="O52" s="79"/>
      <c r="P52" s="92" t="s">
        <v>34</v>
      </c>
      <c r="R52" s="58">
        <v>1</v>
      </c>
      <c r="S52" s="59">
        <v>850000</v>
      </c>
      <c r="T52" s="60">
        <f t="shared" si="13"/>
        <v>850000</v>
      </c>
    </row>
    <row r="53" spans="1:22">
      <c r="A53" s="49" t="s">
        <v>92</v>
      </c>
      <c r="B53" s="50" t="s">
        <v>93</v>
      </c>
      <c r="C53" s="51" t="s">
        <v>37</v>
      </c>
      <c r="E53" s="49"/>
      <c r="F53" s="79"/>
      <c r="G53" s="92" t="s">
        <v>34</v>
      </c>
      <c r="J53" s="49"/>
      <c r="K53" s="79"/>
      <c r="L53" s="92" t="s">
        <v>34</v>
      </c>
      <c r="N53" s="49"/>
      <c r="O53" s="79"/>
      <c r="P53" s="92" t="s">
        <v>34</v>
      </c>
      <c r="R53" s="58">
        <v>1</v>
      </c>
      <c r="S53" s="59">
        <v>179900</v>
      </c>
      <c r="T53" s="60">
        <f t="shared" si="13"/>
        <v>179900</v>
      </c>
      <c r="V53" s="112"/>
    </row>
    <row r="54" spans="1:22" ht="52.5" customHeight="1" thickBot="1">
      <c r="A54" s="61" t="s">
        <v>92</v>
      </c>
      <c r="B54" s="62" t="s">
        <v>94</v>
      </c>
      <c r="C54" s="63" t="s">
        <v>37</v>
      </c>
      <c r="E54" s="61"/>
      <c r="F54" s="98"/>
      <c r="G54" s="99" t="s">
        <v>34</v>
      </c>
      <c r="J54" s="61"/>
      <c r="K54" s="98"/>
      <c r="L54" s="99" t="s">
        <v>34</v>
      </c>
      <c r="N54" s="61"/>
      <c r="O54" s="98"/>
      <c r="P54" s="99" t="s">
        <v>34</v>
      </c>
      <c r="R54" s="102">
        <v>1</v>
      </c>
      <c r="S54" s="103">
        <v>50000</v>
      </c>
      <c r="T54" s="104">
        <f t="shared" si="13"/>
        <v>50000</v>
      </c>
      <c r="V54" s="94" t="s">
        <v>95</v>
      </c>
    </row>
    <row r="55" spans="1:22" ht="15" thickBot="1">
      <c r="B55" s="113"/>
      <c r="F55" s="114"/>
      <c r="G55" s="22"/>
      <c r="K55" s="114"/>
      <c r="L55" s="22"/>
      <c r="O55" s="115"/>
      <c r="P55" s="22"/>
      <c r="S55" s="115"/>
      <c r="T55" s="22"/>
    </row>
    <row r="56" spans="1:22" ht="15" thickBot="1">
      <c r="B56" s="113"/>
      <c r="D56" s="116"/>
      <c r="E56" s="117"/>
      <c r="F56" s="118"/>
      <c r="G56" s="119">
        <f>SUM(G15:G55)</f>
        <v>10850000</v>
      </c>
      <c r="H56" s="117"/>
      <c r="I56" s="117"/>
      <c r="J56" s="117"/>
      <c r="K56" s="118"/>
      <c r="L56" s="119">
        <f>SUM(L15:L55)</f>
        <v>16602530</v>
      </c>
      <c r="M56" s="117"/>
      <c r="N56" s="117"/>
      <c r="O56" s="118"/>
      <c r="P56" s="119">
        <f>SUM(P15:P55)</f>
        <v>27052530</v>
      </c>
      <c r="Q56" s="117"/>
      <c r="R56" s="117"/>
      <c r="S56" s="118"/>
      <c r="T56" s="119">
        <f>SUM(T15:T55)</f>
        <v>34503930</v>
      </c>
    </row>
    <row r="57" spans="1:22">
      <c r="B57" s="113"/>
      <c r="D57" s="120"/>
      <c r="F57" s="121" t="s">
        <v>96</v>
      </c>
      <c r="G57" s="22"/>
      <c r="K57" s="121" t="s">
        <v>96</v>
      </c>
      <c r="L57" s="22">
        <f>+L56*0.12</f>
        <v>1992303.5999999999</v>
      </c>
      <c r="O57" s="121" t="s">
        <v>96</v>
      </c>
      <c r="P57" s="22">
        <f>+P56*0.12</f>
        <v>3246303.6</v>
      </c>
      <c r="S57" s="121" t="s">
        <v>96</v>
      </c>
      <c r="T57" s="122">
        <f>+T56*0.12</f>
        <v>4140471.5999999996</v>
      </c>
    </row>
    <row r="58" spans="1:22">
      <c r="B58" s="113"/>
      <c r="D58" s="120"/>
      <c r="F58" s="121" t="s">
        <v>97</v>
      </c>
      <c r="G58" s="22"/>
      <c r="K58" s="121" t="s">
        <v>97</v>
      </c>
      <c r="L58" s="22">
        <f>+L56*0.03</f>
        <v>498075.89999999997</v>
      </c>
      <c r="O58" s="121" t="s">
        <v>97</v>
      </c>
      <c r="P58" s="22">
        <f>+P56*0.03</f>
        <v>811575.9</v>
      </c>
      <c r="S58" s="121" t="s">
        <v>97</v>
      </c>
      <c r="T58" s="122">
        <f>+T56*0.03</f>
        <v>1035117.8999999999</v>
      </c>
    </row>
    <row r="59" spans="1:22" ht="15" thickBot="1">
      <c r="B59" s="113"/>
      <c r="D59" s="120"/>
      <c r="F59" s="123" t="s">
        <v>98</v>
      </c>
      <c r="G59" s="22"/>
      <c r="K59" s="123" t="s">
        <v>98</v>
      </c>
      <c r="L59" s="22">
        <f>+L56*0.04</f>
        <v>664101.20000000007</v>
      </c>
      <c r="O59" s="123" t="s">
        <v>98</v>
      </c>
      <c r="P59" s="22">
        <f>+P56*0.04</f>
        <v>1082101.2</v>
      </c>
      <c r="S59" s="123" t="s">
        <v>98</v>
      </c>
      <c r="T59" s="122">
        <f>+T56*0.04</f>
        <v>1380157.2</v>
      </c>
    </row>
    <row r="60" spans="1:22" ht="15" thickBot="1">
      <c r="B60" s="113"/>
      <c r="D60" s="120"/>
      <c r="F60" s="123" t="s">
        <v>99</v>
      </c>
      <c r="G60" s="124">
        <f>+G59*0.19</f>
        <v>0</v>
      </c>
      <c r="K60" s="123" t="s">
        <v>99</v>
      </c>
      <c r="L60" s="125">
        <f>+L59*0.19</f>
        <v>126179.22800000002</v>
      </c>
      <c r="O60" s="123" t="s">
        <v>99</v>
      </c>
      <c r="P60" s="126">
        <f>+P59*0.19</f>
        <v>205599.228</v>
      </c>
      <c r="S60" s="123" t="s">
        <v>99</v>
      </c>
      <c r="T60" s="127">
        <f>+T59*0.19</f>
        <v>262229.86800000002</v>
      </c>
    </row>
    <row r="61" spans="1:22" ht="15" thickBot="1">
      <c r="B61" s="113"/>
      <c r="D61" s="120"/>
      <c r="F61" s="123" t="s">
        <v>9</v>
      </c>
      <c r="G61" s="125"/>
      <c r="K61" s="123" t="s">
        <v>9</v>
      </c>
      <c r="L61" s="125">
        <f>SUM(L56:L60)</f>
        <v>19883189.927999999</v>
      </c>
      <c r="O61" s="123" t="s">
        <v>9</v>
      </c>
      <c r="P61" s="126">
        <f>SUM(P56:P60)</f>
        <v>32398109.927999999</v>
      </c>
      <c r="S61" s="123" t="s">
        <v>9</v>
      </c>
      <c r="T61" s="127">
        <f>SUM(T56:T60)</f>
        <v>41321906.568000004</v>
      </c>
      <c r="V61" s="22">
        <f>+T61-V62</f>
        <v>-20264793.431999996</v>
      </c>
    </row>
    <row r="62" spans="1:22" ht="47.25" customHeight="1" thickBot="1">
      <c r="B62" s="113"/>
      <c r="D62" s="120"/>
      <c r="F62" s="128" t="s">
        <v>100</v>
      </c>
      <c r="G62" s="129">
        <f>+G61/E15</f>
        <v>0</v>
      </c>
      <c r="K62" s="128" t="s">
        <v>100</v>
      </c>
      <c r="L62" s="129">
        <f>+L61/J15</f>
        <v>621349.68524999998</v>
      </c>
      <c r="O62" s="130" t="s">
        <v>101</v>
      </c>
      <c r="P62" s="126">
        <f>+P61/N15</f>
        <v>1012440.93525</v>
      </c>
      <c r="S62" s="131" t="s">
        <v>101</v>
      </c>
      <c r="T62" s="132">
        <f>+T61/R15</f>
        <v>1291309.5802500001</v>
      </c>
      <c r="V62">
        <v>61586700</v>
      </c>
    </row>
    <row r="63" spans="1:22">
      <c r="D63" s="120"/>
      <c r="G63" s="22"/>
      <c r="L63" s="22"/>
      <c r="T63" s="133"/>
    </row>
    <row r="64" spans="1:22" ht="48.75" customHeight="1">
      <c r="C64" t="s">
        <v>102</v>
      </c>
      <c r="D64" s="148" t="s">
        <v>103</v>
      </c>
      <c r="E64" s="149"/>
      <c r="F64" s="149"/>
      <c r="G64" s="149"/>
      <c r="H64" s="149"/>
      <c r="I64" s="149"/>
      <c r="J64" s="150"/>
      <c r="K64" s="150"/>
      <c r="L64" s="150"/>
      <c r="N64" s="150" t="s">
        <v>103</v>
      </c>
      <c r="O64" s="150"/>
      <c r="P64" s="150"/>
      <c r="R64" s="155" t="s">
        <v>103</v>
      </c>
      <c r="S64" s="155"/>
      <c r="T64" s="156"/>
    </row>
    <row r="65" spans="4:20" ht="78.75" customHeight="1">
      <c r="D65" s="148" t="s">
        <v>104</v>
      </c>
      <c r="E65" s="149"/>
      <c r="F65" s="149"/>
      <c r="G65" s="149"/>
      <c r="H65" s="149"/>
      <c r="I65" s="149"/>
      <c r="J65" s="150"/>
      <c r="K65" s="150"/>
      <c r="L65" s="150"/>
      <c r="N65" s="150" t="s">
        <v>105</v>
      </c>
      <c r="O65" s="150"/>
      <c r="P65" s="150"/>
      <c r="T65" s="133"/>
    </row>
    <row r="66" spans="4:20" ht="29.25" customHeight="1">
      <c r="D66" s="148" t="s">
        <v>106</v>
      </c>
      <c r="E66" s="149"/>
      <c r="F66" s="149"/>
      <c r="G66" s="149"/>
      <c r="H66" s="149"/>
      <c r="I66" s="149"/>
      <c r="J66" s="150"/>
      <c r="K66" s="150"/>
      <c r="L66" s="150"/>
      <c r="N66" s="150" t="s">
        <v>106</v>
      </c>
      <c r="O66" s="150"/>
      <c r="P66" s="150"/>
      <c r="R66" s="150" t="s">
        <v>107</v>
      </c>
      <c r="S66" s="150"/>
      <c r="T66" s="151"/>
    </row>
    <row r="67" spans="4:20">
      <c r="D67" s="120"/>
      <c r="T67" s="133"/>
    </row>
    <row r="68" spans="4:20">
      <c r="D68" s="120"/>
      <c r="J68" t="s">
        <v>108</v>
      </c>
      <c r="L68" s="134">
        <v>645300</v>
      </c>
      <c r="M68" s="114"/>
      <c r="N68" s="114"/>
      <c r="O68" s="114"/>
      <c r="P68" s="134">
        <v>823500</v>
      </c>
      <c r="Q68" s="114"/>
      <c r="R68" s="114"/>
      <c r="S68" s="114"/>
      <c r="T68" s="135">
        <v>1083300</v>
      </c>
    </row>
    <row r="69" spans="4:20">
      <c r="D69" s="120"/>
      <c r="J69" t="s">
        <v>109</v>
      </c>
      <c r="K69" s="136" t="s">
        <v>110</v>
      </c>
      <c r="L69" s="137">
        <v>642600</v>
      </c>
      <c r="M69" s="138"/>
      <c r="N69" s="138"/>
      <c r="O69" s="136" t="s">
        <v>110</v>
      </c>
      <c r="P69" s="139">
        <v>1016260</v>
      </c>
      <c r="Q69" s="138"/>
      <c r="R69" s="138"/>
      <c r="S69" s="136" t="s">
        <v>110</v>
      </c>
      <c r="T69" s="140">
        <v>1251946.6399999999</v>
      </c>
    </row>
    <row r="70" spans="4:20">
      <c r="D70" s="120"/>
      <c r="J70" t="s">
        <v>109</v>
      </c>
      <c r="K70" s="136" t="s">
        <v>111</v>
      </c>
      <c r="L70" s="137">
        <v>636480</v>
      </c>
      <c r="M70" s="138"/>
      <c r="N70" s="138"/>
      <c r="O70" s="136" t="s">
        <v>111</v>
      </c>
      <c r="P70" s="139">
        <v>903380</v>
      </c>
      <c r="Q70" s="138"/>
      <c r="R70" s="138"/>
      <c r="S70" s="136" t="s">
        <v>111</v>
      </c>
      <c r="T70" s="141">
        <v>1067647.6000000001</v>
      </c>
    </row>
    <row r="71" spans="4:20" ht="26.25" customHeight="1" thickBot="1">
      <c r="D71" s="142"/>
      <c r="E71" s="143"/>
      <c r="F71" s="143"/>
      <c r="G71" s="143"/>
      <c r="H71" s="143"/>
      <c r="I71" s="143"/>
      <c r="J71" s="143" t="s">
        <v>109</v>
      </c>
      <c r="K71" s="144" t="s">
        <v>112</v>
      </c>
      <c r="L71" s="145">
        <v>631890</v>
      </c>
      <c r="M71" s="146"/>
      <c r="N71" s="146"/>
      <c r="O71" s="144" t="s">
        <v>112</v>
      </c>
      <c r="P71" s="145">
        <v>818720</v>
      </c>
      <c r="Q71" s="146"/>
      <c r="R71" s="146"/>
      <c r="S71" s="144" t="s">
        <v>112</v>
      </c>
      <c r="T71" s="147">
        <v>929423.32</v>
      </c>
    </row>
  </sheetData>
  <protectedRanges>
    <protectedRange sqref="V42 X42" name="Rango2"/>
    <protectedRange password="CCEB" sqref="V42 X42" name="hoja1"/>
  </protectedRanges>
  <mergeCells count="9">
    <mergeCell ref="D66:L66"/>
    <mergeCell ref="N66:P66"/>
    <mergeCell ref="R66:T66"/>
    <mergeCell ref="V42:Y42"/>
    <mergeCell ref="D64:L64"/>
    <mergeCell ref="N64:P64"/>
    <mergeCell ref="R64:T64"/>
    <mergeCell ref="D65:L65"/>
    <mergeCell ref="N65:P65"/>
  </mergeCells>
  <hyperlinks>
    <hyperlink ref="V44" r:id="rId1"/>
    <hyperlink ref="V33" r:id="rId2"/>
    <hyperlink ref="V34" r:id="rId3"/>
    <hyperlink ref="V48" r:id="rId4"/>
    <hyperlink ref="Y36" r:id="rId5"/>
    <hyperlink ref="Z36" r:id="rId6"/>
    <hyperlink ref="V46" r:id="rId7"/>
    <hyperlink ref="V54" r:id="rId8" display="https://www.homecenter.com.co/homecenter-co/product/511825/riel-spot-3-luces-gu10-negro/511825/?kid=shopp_goosho_1430593&amp;shop=1&amp;gad_source=1&amp;gad_campaignid=20228062686&amp;gbraid=0AAAAADt6wnrGKkrRP8vI-IrN1wOGBOJZ4&amp;gclid=CjwKCAjw-dfOBhAjEiwAq0RwI-XMzeebtsL4e7iEEcLvCJnTVIAWXdM2k8iwyTAJ-bp25qe2KFrk_BoCt0EQAvD_BwE"/>
  </hyperlinks>
  <pageMargins left="0.7" right="0.7" top="0.75" bottom="0.75" header="0.3" footer="0.3"/>
  <pageSetup paperSize="5" orientation="portrait" horizontalDpi="4294967293" verticalDpi="12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2-09-26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wilder dominguez cespedes</dc:creator>
  <cp:lastModifiedBy>USUARIO</cp:lastModifiedBy>
  <dcterms:created xsi:type="dcterms:W3CDTF">2026-09-02T18:54:56Z</dcterms:created>
  <dcterms:modified xsi:type="dcterms:W3CDTF">2026-09-03T14:27:02Z</dcterms:modified>
</cp:coreProperties>
</file>
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19420" windowHeight="11020"/>
  </bookViews>
  <sheets>
    <sheet name="Hoja1" sheetId="1" r:id="rId1"/>
    <sheet name="Presupuesto" sheetId="3" r:id="rId2"/>
    <sheet name="AFINADO 4 CMS " sheetId="4" r:id="rId3"/>
    <sheet name="MO ENCHAPE " sheetId="5" r:id="rId4"/>
    <sheet name="ESTUCO + PINT" sheetId="6" r:id="rId5"/>
    <sheet name="DRYWALL TECHO" sheetId="7" r:id="rId6"/>
    <sheet name="ASEO " sheetId="8" r:id="rId7"/>
  </sheets>
  <externalReferences>
    <externalReference r:id="rId8"/>
  </externalReferences>
  <calcPr calcId="191029"/>
  <fileRecoveryPr repairLoad="1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" i="1"/>
  <c r="G8"/>
  <c r="G7"/>
  <c r="G6"/>
  <c r="F15"/>
  <c r="G18"/>
  <c r="E15"/>
  <c r="E20" s="1"/>
  <c r="G20" s="1"/>
  <c r="J15"/>
  <c r="AA36"/>
  <c r="E16" l="1"/>
  <c r="G16" s="1"/>
  <c r="E19"/>
  <c r="G19" s="1"/>
  <c r="E17"/>
  <c r="G17" s="1"/>
  <c r="G15"/>
  <c r="J16"/>
  <c r="R16" s="1"/>
  <c r="R24"/>
  <c r="T24" s="1"/>
  <c r="R25"/>
  <c r="R23"/>
  <c r="R22"/>
  <c r="R21"/>
  <c r="R18"/>
  <c r="R30"/>
  <c r="R29"/>
  <c r="R28"/>
  <c r="R27"/>
  <c r="R26"/>
  <c r="S8"/>
  <c r="O8"/>
  <c r="K8"/>
  <c r="S22"/>
  <c r="S23"/>
  <c r="S25"/>
  <c r="S26"/>
  <c r="S27"/>
  <c r="S28"/>
  <c r="S29"/>
  <c r="S30"/>
  <c r="S21"/>
  <c r="T52"/>
  <c r="T51"/>
  <c r="T50"/>
  <c r="T49"/>
  <c r="T48"/>
  <c r="T46"/>
  <c r="T47"/>
  <c r="T39"/>
  <c r="T38"/>
  <c r="T37"/>
  <c r="T36"/>
  <c r="T44"/>
  <c r="T45"/>
  <c r="T42"/>
  <c r="T43"/>
  <c r="T40"/>
  <c r="T41"/>
  <c r="T35"/>
  <c r="T34"/>
  <c r="T32"/>
  <c r="T33"/>
  <c r="T31"/>
  <c r="P30"/>
  <c r="P29"/>
  <c r="P28"/>
  <c r="P27"/>
  <c r="P23"/>
  <c r="P26"/>
  <c r="P25"/>
  <c r="P22"/>
  <c r="P21"/>
  <c r="O20"/>
  <c r="S20"/>
  <c r="I57" i="8"/>
  <c r="H56"/>
  <c r="H55"/>
  <c r="H54"/>
  <c r="H53"/>
  <c r="H52"/>
  <c r="H51"/>
  <c r="H57" s="1"/>
  <c r="I49"/>
  <c r="H48"/>
  <c r="H47"/>
  <c r="H46"/>
  <c r="H49" s="1"/>
  <c r="H43"/>
  <c r="H42"/>
  <c r="I42" s="1"/>
  <c r="H41"/>
  <c r="H44" s="1"/>
  <c r="I40"/>
  <c r="H40"/>
  <c r="I38"/>
  <c r="H38"/>
  <c r="H37"/>
  <c r="H34"/>
  <c r="I33"/>
  <c r="I34" s="1"/>
  <c r="H33"/>
  <c r="I28"/>
  <c r="H28"/>
  <c r="H27"/>
  <c r="I27" s="1"/>
  <c r="I26"/>
  <c r="H26"/>
  <c r="H25"/>
  <c r="I25" s="1"/>
  <c r="I24"/>
  <c r="H24"/>
  <c r="H23"/>
  <c r="I23" s="1"/>
  <c r="I22"/>
  <c r="H22"/>
  <c r="H21"/>
  <c r="I21" s="1"/>
  <c r="I20"/>
  <c r="H20"/>
  <c r="H19"/>
  <c r="I19" s="1"/>
  <c r="I18"/>
  <c r="H18"/>
  <c r="H17"/>
  <c r="I17" s="1"/>
  <c r="I16"/>
  <c r="H16"/>
  <c r="H12"/>
  <c r="B12"/>
  <c r="H17" i="7"/>
  <c r="H18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16"/>
  <c r="I57"/>
  <c r="H56"/>
  <c r="H55"/>
  <c r="H54"/>
  <c r="H53"/>
  <c r="H52"/>
  <c r="H51"/>
  <c r="I49"/>
  <c r="H48"/>
  <c r="H47"/>
  <c r="H46"/>
  <c r="H43"/>
  <c r="H42"/>
  <c r="I42" s="1"/>
  <c r="H41"/>
  <c r="H40"/>
  <c r="I40" s="1"/>
  <c r="I38"/>
  <c r="H37"/>
  <c r="H38" s="1"/>
  <c r="I33"/>
  <c r="I34" s="1"/>
  <c r="H33"/>
  <c r="H34" s="1"/>
  <c r="I18"/>
  <c r="I16"/>
  <c r="H12"/>
  <c r="B12"/>
  <c r="S19" i="1"/>
  <c r="O19"/>
  <c r="S18"/>
  <c r="O18"/>
  <c r="N18"/>
  <c r="I25" i="6"/>
  <c r="H17"/>
  <c r="I17" s="1"/>
  <c r="H18"/>
  <c r="H19"/>
  <c r="H20"/>
  <c r="I20" s="1"/>
  <c r="H21"/>
  <c r="I21" s="1"/>
  <c r="H22"/>
  <c r="H23"/>
  <c r="H16"/>
  <c r="I16" s="1"/>
  <c r="I51"/>
  <c r="H50"/>
  <c r="H49"/>
  <c r="H48"/>
  <c r="H47"/>
  <c r="H46"/>
  <c r="H45"/>
  <c r="I43"/>
  <c r="H42"/>
  <c r="H41"/>
  <c r="H40"/>
  <c r="H37"/>
  <c r="H36"/>
  <c r="I36" s="1"/>
  <c r="H35"/>
  <c r="H34"/>
  <c r="I34" s="1"/>
  <c r="I32"/>
  <c r="H31"/>
  <c r="H32" s="1"/>
  <c r="I27"/>
  <c r="I28" s="1"/>
  <c r="H27"/>
  <c r="H28" s="1"/>
  <c r="I19"/>
  <c r="I18"/>
  <c r="H12"/>
  <c r="B12"/>
  <c r="I50" i="4"/>
  <c r="I49"/>
  <c r="H49"/>
  <c r="I41"/>
  <c r="H41"/>
  <c r="L18" i="1"/>
  <c r="H48" i="5"/>
  <c r="H47"/>
  <c r="H46"/>
  <c r="H45"/>
  <c r="H49" s="1"/>
  <c r="H44"/>
  <c r="H43"/>
  <c r="H40"/>
  <c r="H41" s="1"/>
  <c r="H39"/>
  <c r="H38"/>
  <c r="H36"/>
  <c r="H35"/>
  <c r="H34"/>
  <c r="I34" s="1"/>
  <c r="I33"/>
  <c r="H33"/>
  <c r="H32"/>
  <c r="I32" s="1"/>
  <c r="I30"/>
  <c r="H30"/>
  <c r="H29"/>
  <c r="H26"/>
  <c r="I25"/>
  <c r="I26" s="1"/>
  <c r="H25"/>
  <c r="H21"/>
  <c r="I21" s="1"/>
  <c r="H20"/>
  <c r="I20" s="1"/>
  <c r="H19"/>
  <c r="I19" s="1"/>
  <c r="H18"/>
  <c r="I18" s="1"/>
  <c r="H17"/>
  <c r="I17" s="1"/>
  <c r="H16"/>
  <c r="I16" s="1"/>
  <c r="H12"/>
  <c r="B12"/>
  <c r="I33" i="4"/>
  <c r="I32"/>
  <c r="I36" s="1"/>
  <c r="H30"/>
  <c r="I30"/>
  <c r="H48"/>
  <c r="H47"/>
  <c r="H46"/>
  <c r="H45"/>
  <c r="H44"/>
  <c r="H43"/>
  <c r="H40"/>
  <c r="H39"/>
  <c r="H38"/>
  <c r="H35"/>
  <c r="H34"/>
  <c r="I34" s="1"/>
  <c r="H33"/>
  <c r="H32"/>
  <c r="H29"/>
  <c r="I25"/>
  <c r="I26" s="1"/>
  <c r="H25"/>
  <c r="H21"/>
  <c r="I21" s="1"/>
  <c r="H20"/>
  <c r="I20" s="1"/>
  <c r="H19"/>
  <c r="I19" s="1"/>
  <c r="H18"/>
  <c r="H17"/>
  <c r="I17" s="1"/>
  <c r="H16"/>
  <c r="I16" s="1"/>
  <c r="H12"/>
  <c r="B12"/>
  <c r="G54" i="1" l="1"/>
  <c r="G58"/>
  <c r="T23"/>
  <c r="T29"/>
  <c r="T21"/>
  <c r="T30"/>
  <c r="T26"/>
  <c r="T22"/>
  <c r="T28"/>
  <c r="T27"/>
  <c r="J17"/>
  <c r="R17" s="1"/>
  <c r="J20"/>
  <c r="J19"/>
  <c r="R19" s="1"/>
  <c r="I31" i="8"/>
  <c r="H31"/>
  <c r="H58" s="1"/>
  <c r="I41"/>
  <c r="I44" s="1"/>
  <c r="I58" s="1"/>
  <c r="P18" i="1"/>
  <c r="T18"/>
  <c r="H49" i="7"/>
  <c r="H57"/>
  <c r="H31"/>
  <c r="H44"/>
  <c r="I41"/>
  <c r="I44" s="1"/>
  <c r="I17"/>
  <c r="I31" s="1"/>
  <c r="H25" i="6"/>
  <c r="H38"/>
  <c r="H43"/>
  <c r="H51"/>
  <c r="I35"/>
  <c r="I38" s="1"/>
  <c r="I23" i="5"/>
  <c r="I36"/>
  <c r="H23"/>
  <c r="H50" s="1"/>
  <c r="H23" i="4"/>
  <c r="H26"/>
  <c r="H36"/>
  <c r="I18"/>
  <c r="I23" s="1"/>
  <c r="G60" i="1" l="1"/>
  <c r="L20"/>
  <c r="R20"/>
  <c r="T20" s="1"/>
  <c r="H60" i="8"/>
  <c r="H59"/>
  <c r="H61"/>
  <c r="H62" s="1"/>
  <c r="T19" i="1"/>
  <c r="N19"/>
  <c r="P19" s="1"/>
  <c r="H58" i="7"/>
  <c r="H61" s="1"/>
  <c r="H62" s="1"/>
  <c r="I58"/>
  <c r="I52" i="6"/>
  <c r="H52"/>
  <c r="H55" s="1"/>
  <c r="H56" s="1"/>
  <c r="H52" i="5"/>
  <c r="H51"/>
  <c r="H53"/>
  <c r="H54" s="1"/>
  <c r="H50" i="4"/>
  <c r="H63" i="8" l="1"/>
  <c r="H65" s="1"/>
  <c r="H59" i="7"/>
  <c r="H60"/>
  <c r="H63" s="1"/>
  <c r="H65" s="1"/>
  <c r="H53" i="6"/>
  <c r="H54"/>
  <c r="H55" i="5"/>
  <c r="H57" s="1"/>
  <c r="H53" i="4"/>
  <c r="H54" s="1"/>
  <c r="H51"/>
  <c r="H52"/>
  <c r="H57" i="6" l="1"/>
  <c r="H59" s="1"/>
  <c r="H55" i="4"/>
  <c r="H57" s="1"/>
  <c r="L19" i="1" l="1"/>
  <c r="S17"/>
  <c r="O17"/>
  <c r="N17"/>
  <c r="L17"/>
  <c r="J8" i="3"/>
  <c r="I8"/>
  <c r="H8"/>
  <c r="J7"/>
  <c r="I7"/>
  <c r="H7"/>
  <c r="J6"/>
  <c r="I6"/>
  <c r="H6"/>
  <c r="J5"/>
  <c r="I5"/>
  <c r="I9" s="1"/>
  <c r="H5"/>
  <c r="J4"/>
  <c r="I4"/>
  <c r="H4"/>
  <c r="J3"/>
  <c r="I3"/>
  <c r="H3"/>
  <c r="J2"/>
  <c r="J9" s="1"/>
  <c r="I2"/>
  <c r="H2"/>
  <c r="H9" s="1"/>
  <c r="S16" i="1"/>
  <c r="O16"/>
  <c r="N16"/>
  <c r="S15"/>
  <c r="R15"/>
  <c r="O15"/>
  <c r="N15"/>
  <c r="N20" s="1"/>
  <c r="P20" s="1"/>
  <c r="L16"/>
  <c r="L15"/>
  <c r="O9"/>
  <c r="S9"/>
  <c r="K9"/>
  <c r="S7"/>
  <c r="K7"/>
  <c r="R6"/>
  <c r="N6"/>
  <c r="L6"/>
  <c r="P7"/>
  <c r="L54" l="1"/>
  <c r="P17"/>
  <c r="P16"/>
  <c r="T17"/>
  <c r="T15"/>
  <c r="T16"/>
  <c r="P15"/>
  <c r="T54" l="1"/>
  <c r="L55"/>
  <c r="P54"/>
  <c r="L57"/>
  <c r="L58" s="1"/>
  <c r="L56"/>
  <c r="L59" l="1"/>
  <c r="L60" s="1"/>
  <c r="P56"/>
  <c r="T57"/>
  <c r="T58" s="1"/>
  <c r="T55"/>
  <c r="T56"/>
  <c r="P55"/>
  <c r="P57"/>
  <c r="P58" s="1"/>
  <c r="P59" l="1"/>
  <c r="P60" s="1"/>
  <c r="T59"/>
  <c r="T60" l="1"/>
  <c r="V59"/>
</calcChain>
</file>

<file path=xl/sharedStrings.xml><?xml version="1.0" encoding="utf-8"?>
<sst xmlns="http://schemas.openxmlformats.org/spreadsheetml/2006/main" count="664" uniqueCount="211">
  <si>
    <t xml:space="preserve">TERVI </t>
  </si>
  <si>
    <t xml:space="preserve">MEDIO </t>
  </si>
  <si>
    <t>PLUS</t>
  </si>
  <si>
    <t>M2</t>
  </si>
  <si>
    <t>VR UNT</t>
  </si>
  <si>
    <t xml:space="preserve">VR TOTAL </t>
  </si>
  <si>
    <t>ANALISIS DE COMPETENCIA</t>
  </si>
  <si>
    <t xml:space="preserve">TIPO </t>
  </si>
  <si>
    <t xml:space="preserve">FECHA </t>
  </si>
  <si>
    <t>Capítulo</t>
  </si>
  <si>
    <t>Actividad</t>
  </si>
  <si>
    <t>Unidad</t>
  </si>
  <si>
    <t>Cantidad</t>
  </si>
  <si>
    <t>Costo Unit Económico</t>
  </si>
  <si>
    <t>Costo Unit Medio</t>
  </si>
  <si>
    <t>Costo Unit Alto</t>
  </si>
  <si>
    <t>Subtotal Económico</t>
  </si>
  <si>
    <t>Subtotal Medio</t>
  </si>
  <si>
    <t>Subtotal Alto</t>
  </si>
  <si>
    <t>Pisos</t>
  </si>
  <si>
    <t>Suministro e instalación piso , nivelacion y cargue de pisos en mortero</t>
  </si>
  <si>
    <t>m2</t>
  </si>
  <si>
    <t>Muros</t>
  </si>
  <si>
    <t>Estuco + pintura</t>
  </si>
  <si>
    <t>Baños</t>
  </si>
  <si>
    <t>Enchape y aparatos</t>
  </si>
  <si>
    <t>glb</t>
  </si>
  <si>
    <t>Cocina</t>
  </si>
  <si>
    <t>Cocina integral</t>
  </si>
  <si>
    <t>Carpintería</t>
  </si>
  <si>
    <t>Puertas + closets</t>
  </si>
  <si>
    <t>Instalaciones</t>
  </si>
  <si>
    <t>Eléctricas e hidráulicas</t>
  </si>
  <si>
    <t>Vidrios</t>
  </si>
  <si>
    <t>Divisiones baño</t>
  </si>
  <si>
    <t xml:space="preserve">NOTAS </t>
  </si>
  <si>
    <t xml:space="preserve">Suministro e instalacion de materiales para nivelacion de paredes, estuco y pintura blnaca a 3 manos </t>
  </si>
  <si>
    <t xml:space="preserve">Techos </t>
  </si>
  <si>
    <t>Descripcion</t>
  </si>
  <si>
    <t>ADMON 12%</t>
  </si>
  <si>
    <t>IMPREVISTOS  3%</t>
  </si>
  <si>
    <t>UTILIDAD 4%</t>
  </si>
  <si>
    <t xml:space="preserve"> - ANALISIS DE PRECIOS UNITARIOS</t>
  </si>
  <si>
    <t>Contratante:</t>
  </si>
  <si>
    <t>Proponente:</t>
  </si>
  <si>
    <t>CONSTRUCTORA ESCUADR ARQ SAS</t>
  </si>
  <si>
    <t>No Licitación:</t>
  </si>
  <si>
    <t>Objeto:</t>
  </si>
  <si>
    <t>CARGUES DE PISO Y ENCHAPES</t>
  </si>
  <si>
    <t>Obra:</t>
  </si>
  <si>
    <t>Item:</t>
  </si>
  <si>
    <t>#</t>
  </si>
  <si>
    <t>DESCRIPCION</t>
  </si>
  <si>
    <t>UNIDAD</t>
  </si>
  <si>
    <t>AFINADO DE PISOS APARTAMENTOS - Ejecución del afinado de piso de 4 cm, incluye mano de obra, equipo y herramienta.</t>
  </si>
  <si>
    <t>Vr Unitario</t>
  </si>
  <si>
    <t>Valor Total</t>
  </si>
  <si>
    <t>Materiales</t>
  </si>
  <si>
    <t>ICOPOR PERIMETRAL 2CM</t>
  </si>
  <si>
    <t>ML</t>
  </si>
  <si>
    <t>Equipo</t>
  </si>
  <si>
    <t>Herramienta menor</t>
  </si>
  <si>
    <t>Transporte</t>
  </si>
  <si>
    <t>Mano de obra</t>
  </si>
  <si>
    <t>Rendimiento</t>
  </si>
  <si>
    <t>JR</t>
  </si>
  <si>
    <t>Sub-total Mano de Obra X M2</t>
  </si>
  <si>
    <t>Subcontratos</t>
  </si>
  <si>
    <t>Sub-total Subcontratos</t>
  </si>
  <si>
    <t>Otros (indicar claramente)</t>
  </si>
  <si>
    <t>Sub-total Otros</t>
  </si>
  <si>
    <t>VALOR TOTAL COSTO DIRECTO</t>
  </si>
  <si>
    <t>ADMINISTRACION</t>
  </si>
  <si>
    <t xml:space="preserve">IMPREVISTOS </t>
  </si>
  <si>
    <t>UTILIDAD</t>
  </si>
  <si>
    <t>IVA/UTILIDAD</t>
  </si>
  <si>
    <t>COSTOS INDIRECTOS</t>
  </si>
  <si>
    <t>TOTAL</t>
  </si>
  <si>
    <t>Mortero pega (1:4)</t>
  </si>
  <si>
    <t>m³</t>
  </si>
  <si>
    <t>Cemento adicional</t>
  </si>
  <si>
    <t>Arena lavada</t>
  </si>
  <si>
    <t>kg</t>
  </si>
  <si>
    <t>Nivelación (mortero base)</t>
  </si>
  <si>
    <t>Agua + aditivos</t>
  </si>
  <si>
    <t>Ayudante</t>
  </si>
  <si>
    <t xml:space="preserve">GASTO TOTAL </t>
  </si>
  <si>
    <t xml:space="preserve">Oficial de obra </t>
  </si>
  <si>
    <t>ENCHAPE  DE PISOS APARTAMENTOS - Ejecución del afinado de piso de 4 cm, incluye mano de obra, equipo y herramienta.</t>
  </si>
  <si>
    <t>Mano de obra instalacion de ceramica salpicadero de cocina, y zona de lavadero, cabina de ducha (si aplica)</t>
  </si>
  <si>
    <t>ESTUCO+ PINTURA-S APARTAMENTOS - Ejecución del afinado de piso de 4 cm, incluye mano de obra, equipo y herramienta.</t>
  </si>
  <si>
    <t>Mortero repellado (1:4)</t>
  </si>
  <si>
    <t>Arena fina</t>
  </si>
  <si>
    <t>Estuco plástico</t>
  </si>
  <si>
    <t>Lija</t>
  </si>
  <si>
    <t>und</t>
  </si>
  <si>
    <t>Sellador (imprimante)</t>
  </si>
  <si>
    <t>gal</t>
  </si>
  <si>
    <t>Pintura vinílica</t>
  </si>
  <si>
    <t>Cinta/plástico</t>
  </si>
  <si>
    <t>m²</t>
  </si>
  <si>
    <t xml:space="preserve">ESTUCO + PINTURA </t>
  </si>
  <si>
    <t>Lámina drywall 1/2"</t>
  </si>
  <si>
    <t>Lámina RH (baño - prorrateo)</t>
  </si>
  <si>
    <t>Perfilería galvanizada (canales + omegas)</t>
  </si>
  <si>
    <t>ml</t>
  </si>
  <si>
    <t>Tornillería drywall</t>
  </si>
  <si>
    <t>Cinta para juntas</t>
  </si>
  <si>
    <t>Masilla drywall</t>
  </si>
  <si>
    <t>Sellador</t>
  </si>
  <si>
    <t>Pintura vinílica (2 manos)</t>
  </si>
  <si>
    <t>Perfil perimetral dilatación</t>
  </si>
  <si>
    <t>Cableado eléctrico</t>
  </si>
  <si>
    <t>Luminaria LED panel (prorrateo)</t>
  </si>
  <si>
    <t>Conectores / accesorios eléctricos</t>
  </si>
  <si>
    <t>global</t>
  </si>
  <si>
    <t>Aseo</t>
  </si>
  <si>
    <t xml:space="preserve">Aseo final- Retiro de escombros a punto de acopio </t>
  </si>
  <si>
    <t xml:space="preserve">El material correspondiente a enchape y/o piso SPC y sus derivados deben ser suministrados por el cliente </t>
  </si>
  <si>
    <t>area</t>
  </si>
  <si>
    <t xml:space="preserve">vr. Unt </t>
  </si>
  <si>
    <t xml:space="preserve">vr. Total </t>
  </si>
  <si>
    <t>Puertas en madera para alcoba en aglomerado MDP</t>
  </si>
  <si>
    <t>UND</t>
  </si>
  <si>
    <t>PRECIO OFERTA M2</t>
  </si>
  <si>
    <t>closet habitaciones en aglomerado MDP 15mm (hasta 2 m largo)</t>
  </si>
  <si>
    <t>Barra auxiliar de cocina en aglomerado MDP 15mm (Hasta1.2m largo )</t>
  </si>
  <si>
    <t>PRECIO OFERTA  M2</t>
  </si>
  <si>
    <t>Madera</t>
  </si>
  <si>
    <t xml:space="preserve">Mueble alto  de cocina MDP RH 18mm (hasta 2 m largo) </t>
  </si>
  <si>
    <t xml:space="preserve">Electrodomesticos </t>
  </si>
  <si>
    <t>Mueble de ropas  aglomerado MDP 15mm</t>
  </si>
  <si>
    <t>no se contempla cambio de elementos como (mesón en acero, estufa, aparatos en baño, griferias, incrutaciones y enchapes si aplica)</t>
  </si>
  <si>
    <t xml:space="preserve">Vidrio </t>
  </si>
  <si>
    <t xml:space="preserve">Division de Baño en vidrio templado con herrajes en acero inoxidable </t>
  </si>
  <si>
    <t>Mueble flotado de Baño  aglomerado MDP 15mm</t>
  </si>
  <si>
    <t>no se contempla cambio de elementos como (mesón en acero, estufa, aparatos sanitarios (lavamanos, santario)(lavadero), griferias, inscrutaciones y enchapes si aplica). Aparatos electricos como tomas, interruptores</t>
  </si>
  <si>
    <t xml:space="preserve">Experto </t>
  </si>
  <si>
    <t xml:space="preserve">Elemental </t>
  </si>
  <si>
    <t xml:space="preserve">Espejo flotado 4 mm + luz led </t>
  </si>
  <si>
    <t xml:space="preserve">PROPUESTA </t>
  </si>
  <si>
    <t>Estandar</t>
  </si>
  <si>
    <t xml:space="preserve">BASICO </t>
  </si>
  <si>
    <t xml:space="preserve">Mueble alto- Mueble bajo   de cocina MDP RH 18mm (hasta 2 m largo) </t>
  </si>
  <si>
    <t>N/A</t>
  </si>
  <si>
    <t xml:space="preserve">Aparatos </t>
  </si>
  <si>
    <t xml:space="preserve">punto gas </t>
  </si>
  <si>
    <t xml:space="preserve">Recibe un obsequio de decoracion en tu sala por adquirir nuestros servicios </t>
  </si>
  <si>
    <t xml:space="preserve">griferias </t>
  </si>
  <si>
    <t xml:space="preserve">Quarztone </t>
  </si>
  <si>
    <t xml:space="preserve">Punto de gas horno de empotrar </t>
  </si>
  <si>
    <t xml:space="preserve">Incrustaciones </t>
  </si>
  <si>
    <t xml:space="preserve">Meson Lavamanos tipo guitarra en Quarztone </t>
  </si>
  <si>
    <t>Iluminacion</t>
  </si>
  <si>
    <t xml:space="preserve">link </t>
  </si>
  <si>
    <t>https://www.homecenter.com.co/homecenter-co/product/706690/horno-de-empotrar-60-cm-mixto-110-v-gas-natural-inoxidable-negro-h60eeval005/706690/</t>
  </si>
  <si>
    <t>https://www.homecenter.com.co/homecenter-co/search?Ntt=campana%20extractora%20cocina</t>
  </si>
  <si>
    <t>https://www.homecenter.com.co/homecenter-co/search?Ntt=estufa%20empotrar&amp;sTerm=estufa%20&amp;sType=suggest&amp;sScenario=BTP_SUG_estufa%20empotrar</t>
  </si>
  <si>
    <t>lavaplatos Lavaplatos Radiante de Submontar 1 Poceta 60x40 cm Acero Inoxidable Socoda</t>
  </si>
  <si>
    <t>Instalacion lavaplatos Lavaplatos Radiante de Submontar 1 Poceta 60x40 cm Acero Inoxidable Socoda</t>
  </si>
  <si>
    <t>Grifería Lavaplatos Sencilla Gus Mueble Negra Sensi Dacqua</t>
  </si>
  <si>
    <t>https://www.homecenter.com.co/homecenter-co/product/900325/griferia-lavaplatos-sencilla-gus-mueble-negra-sensi-dacqua/900325/</t>
  </si>
  <si>
    <t>Instlacion Grifería Lavaplatos Sencilla Gus Mueble Negra Sensi Dacqua</t>
  </si>
  <si>
    <t>Kit De Instalación Completo Para Lavaplatos Con Canastilla 4" Pulgadas En Polimero + Sifon En P De Polimerime Gris + 2 Acoples Para Griferia De Lavaplatos De 8" Pulgadas Grival</t>
  </si>
  <si>
    <t>Instalacion Kit De Instalación Completo Para Lavaplatos Con Canastilla 4" Pulgadas En Polimero + Sifon En P De Polimerime Gris + 2 Acoples Para Griferia De Lavaplatos De 8" Pulgadas Grival</t>
  </si>
  <si>
    <t>https://www.homecenter.com.co/homecenter-co/product/138763/kit-de-instalacion-completo-para-lavaplatos-con-canastilla-4-pulgadas-en-polimero-sifon-en-p-de-polimerime-gris-2-acoples-para-griferia-de-lavaplatos-de-8-pulgadas-grival/138763/</t>
  </si>
  <si>
    <t>Kit  Sanitario Con Brida</t>
  </si>
  <si>
    <t>https://www.homecenter.com.co/homecenter-co/product/312220/kit-instalacion-sanitario-con-brida/312220/</t>
  </si>
  <si>
    <t xml:space="preserve">instalacion kit acoflex sanitario </t>
  </si>
  <si>
    <t xml:space="preserve">instalacion kit acoflex lavamanos </t>
  </si>
  <si>
    <t xml:space="preserve"> kit acoflex lavamanos </t>
  </si>
  <si>
    <t>Grifería Ducha Monocontrol Nott Negra+Regadera 25X25+Brazo Red 30 Cms</t>
  </si>
  <si>
    <t>Instalacion Grifería Ducha Monocontrol Nott Negra+Regadera 25X25</t>
  </si>
  <si>
    <t>https://www.homecenter.com.co/homecenter-co/product/721667/griferia-ducha-monocontrol-nott-negraregadera-25x25brazo-red-30-cms/721667/</t>
  </si>
  <si>
    <t>Meson de cocina en Quarztone hasta 2 m</t>
  </si>
  <si>
    <t>Meson Barra auxiliar en Quarztone (Hasta1.2m largo )</t>
  </si>
  <si>
    <t xml:space="preserve">Instalacion Riel Spot 3 Luces Gu10 Negro cocina </t>
  </si>
  <si>
    <t>https://www.homecenter.com.co/homecenter-co/product/511825/riel-spot-3-luces-gu10-negro/511825/?kid=shopp_goosho_1430593&amp;shop=1&amp;gad_source=1&amp;gad_campaignid=20228062686&amp;gbraid=0AAAAADt6wnrGKkrRP8vI-IrN1wOGBOJZ4&amp;gclid=CjwKCAjw-dfOBhAjEiwAq0RwI-XMzeebtsL4e7iEEcLvCJnTVIAWXdM2k8iwyTAJ-bp25qe2KFrk_BoCt0EQAvD_BwE</t>
  </si>
  <si>
    <t>25M2</t>
  </si>
  <si>
    <t>35M2</t>
  </si>
  <si>
    <t>50M2</t>
  </si>
  <si>
    <t>KPIS</t>
  </si>
  <si>
    <t>REF</t>
  </si>
  <si>
    <t>https://www.homecenter.com.co/homecenter-co/product/258493/lavaplatos-para-empotrar-1-poceta-53x43-cm-acero-inoxidable/258493/</t>
  </si>
  <si>
    <t xml:space="preserve">Riel Spot 3 Luces Gu10 Negro COCINA </t>
  </si>
  <si>
    <t>No se contempla cambio de tomas, interruptores</t>
  </si>
  <si>
    <t xml:space="preserve">Suministro e Instalacion Drywall plano masillado y pintura a 2 manos con dilatacion perimetral. Lamina Drywall RH en baño. Cambio  Iluminacion LED según diseño </t>
  </si>
  <si>
    <t>IVA SOBRE U 19%</t>
  </si>
  <si>
    <t>Mano de obra instalacion de piso en ceramica y/o piso SPC incluye guarda escobas (no incluye material)</t>
  </si>
  <si>
    <t>campana extractora 60 cms 3 velocoidades campana extractora 60 cms 3 velocoidades  210M3/H CM60</t>
  </si>
  <si>
    <t>https://www.homecenter.com.co/homecenter-co/product/507572/estufa-de-empotrar-a-gas-60-x-43-cm-vidrio-pm6046v0/507572/</t>
  </si>
  <si>
    <t xml:space="preserve">Estufa de empotrar Gas natural 4 puestos en vidrio PM6046V0 templado + instalacion </t>
  </si>
  <si>
    <t>Horno de Empotrar 60 cm Mixto 110 V Gas Natural Inoxidable Negro H60EEVAL005</t>
  </si>
  <si>
    <t>Sanitario Smart Alongado Single Blanco Corona.- Kit Lavamanos Sobreponer Bowl 37 Diam Vessel+Grifería Agua Fria Acero Inox- Kit Accesorios Baño Grazia Negro Percha+Portarr+Toallero</t>
  </si>
  <si>
    <t>Instalacion Sanitario Smart Alongado Single Blanco Corona.- Kit Lavamanos Sobreponer Bowl 37 Diam Vessel+Grifería Agua Fria Acero Inox- Kit Accesorios Baño Grazia Negro Percha+Portarr+Toallero</t>
  </si>
  <si>
    <t>https://www.homecenter.com.co/homecenter-co/product/468303/sanitario-smart-alongado-single-blanco-corona/468303/</t>
  </si>
  <si>
    <t>https://www.homecenter.com.co/homecenter-co/product/679512/kit-lavamanos-sobreponer-bowl-37-diam-vesselgriferia-agua-fria-acero-inox/679512/</t>
  </si>
  <si>
    <t>https://www.homecenter.com.co/homecenter-co/product/478593/kit-accesorios-bano-grazia-negro-perchaportarrtoallero/478593/</t>
  </si>
  <si>
    <t>Corona
Sanitario Smart Alongado Single Blanco Corona</t>
  </si>
  <si>
    <t>Kit Lavamanos Sobreponer Bowl 37 Diam Vessel+Grifería Agua Fria Acero Inox</t>
  </si>
  <si>
    <t>Kit Accesorios Baño Grazia Negro Percha+Portarr+Toallero</t>
  </si>
  <si>
    <t xml:space="preserve">total </t>
  </si>
  <si>
    <t>https://www.homecenter.com.co/homecenter-co/product/321565/lavaplatos-radiante-de-submontar-1-poceta-60x40-cm-acero-inoxidable-socoda/321565/</t>
  </si>
  <si>
    <t xml:space="preserve">ceramia </t>
  </si>
  <si>
    <t>Pegante tipo C1</t>
  </si>
  <si>
    <t>Boquilla</t>
  </si>
  <si>
    <t>Crucetas</t>
  </si>
  <si>
    <t xml:space="preserve">und </t>
  </si>
  <si>
    <t>Desperdicio y consumibles</t>
  </si>
  <si>
    <t>gl</t>
  </si>
  <si>
    <t>MAESTRO</t>
  </si>
</sst>
</file>

<file path=xl/styles.xml><?xml version="1.0" encoding="utf-8"?>
<styleSheet xmlns="http://schemas.openxmlformats.org/spreadsheetml/2006/main">
  <numFmts count="9">
    <numFmt numFmtId="164" formatCode="_-&quot;$&quot;* #,##0_-;\-&quot;$&quot;* #,##0_-;_-&quot;$&quot;* &quot;-&quot;_-;_-@_-"/>
    <numFmt numFmtId="165" formatCode="_-&quot;$&quot;* #,##0.00_-;\-&quot;$&quot;* #,##0.00_-;_-&quot;$&quot;* &quot;-&quot;??_-;_-@_-"/>
    <numFmt numFmtId="166" formatCode="_-&quot;$&quot;* #,##0_-;\-&quot;$&quot;* #,##0_-;_-&quot;$&quot;* &quot;-&quot;?????_-;_-@_-"/>
    <numFmt numFmtId="167" formatCode="_ &quot;$&quot;\ * #,##0.00_ ;_ &quot;$&quot;\ * \-#,##0.00_ ;_ &quot;$&quot;\ * &quot;-&quot;??_ ;_ @_ "/>
    <numFmt numFmtId="168" formatCode="_ &quot;$&quot;\ * #,##0_ ;_ &quot;$&quot;\ * \-#,##0_ ;_ &quot;$&quot;\ * &quot;-&quot;??_ ;_ @_ "/>
    <numFmt numFmtId="169" formatCode="_ * #,##0.00_ ;_ * \-#,##0.00_ ;_ * &quot;-&quot;??_ ;_ @_ "/>
    <numFmt numFmtId="170" formatCode="_(* #,##0.00_);_(* \(#,##0.00\);_(* &quot;-&quot;??_);_(@_)"/>
    <numFmt numFmtId="171" formatCode="_(* #,##0_);_(* \(#,##0\);_(* &quot;-&quot;??_);_(@_)"/>
    <numFmt numFmtId="172" formatCode="_(&quot;$&quot;* #,##0_);_(&quot;$&quot;* \(#,##0\);_(&quot;$&quot;* &quot;-&quot;_);_(@_)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4"/>
      <color indexed="9"/>
      <name val="Arial"/>
      <family val="2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3" fillId="0" borderId="0"/>
    <xf numFmtId="0" fontId="5" fillId="0" borderId="0"/>
    <xf numFmtId="167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13" fillId="0" borderId="0" applyNumberFormat="0" applyFill="0" applyBorder="0" applyAlignment="0" applyProtection="0"/>
    <xf numFmtId="172" fontId="1" fillId="0" borderId="0" applyFont="0" applyFill="0" applyBorder="0" applyAlignment="0" applyProtection="0"/>
  </cellStyleXfs>
  <cellXfs count="218">
    <xf numFmtId="0" fontId="0" fillId="0" borderId="0" xfId="0"/>
    <xf numFmtId="164" fontId="0" fillId="0" borderId="0" xfId="1" applyFont="1"/>
    <xf numFmtId="165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2" fillId="3" borderId="13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0" fillId="0" borderId="10" xfId="0" applyBorder="1" applyAlignment="1">
      <alignment horizontal="left"/>
    </xf>
    <xf numFmtId="164" fontId="0" fillId="2" borderId="11" xfId="1" applyFont="1" applyFill="1" applyBorder="1" applyAlignment="1">
      <alignment horizontal="left"/>
    </xf>
    <xf numFmtId="166" fontId="0" fillId="0" borderId="12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164" fontId="0" fillId="2" borderId="1" xfId="1" applyFont="1" applyFill="1" applyBorder="1" applyAlignment="1">
      <alignment horizontal="left"/>
    </xf>
    <xf numFmtId="166" fontId="0" fillId="0" borderId="6" xfId="0" applyNumberFormat="1" applyBorder="1" applyAlignment="1">
      <alignment horizontal="left"/>
    </xf>
    <xf numFmtId="0" fontId="0" fillId="0" borderId="7" xfId="0" applyBorder="1" applyAlignment="1">
      <alignment horizontal="left"/>
    </xf>
    <xf numFmtId="164" fontId="0" fillId="2" borderId="8" xfId="1" applyFont="1" applyFill="1" applyBorder="1" applyAlignment="1">
      <alignment horizontal="left"/>
    </xf>
    <xf numFmtId="166" fontId="0" fillId="0" borderId="9" xfId="0" applyNumberFormat="1" applyBorder="1" applyAlignment="1">
      <alignment horizontal="left"/>
    </xf>
    <xf numFmtId="164" fontId="0" fillId="0" borderId="12" xfId="1" applyFont="1" applyBorder="1" applyAlignment="1">
      <alignment horizontal="left"/>
    </xf>
    <xf numFmtId="0" fontId="0" fillId="0" borderId="2" xfId="0" applyBorder="1" applyAlignment="1">
      <alignment horizontal="left"/>
    </xf>
    <xf numFmtId="164" fontId="0" fillId="2" borderId="3" xfId="1" applyFont="1" applyFill="1" applyBorder="1" applyAlignment="1">
      <alignment horizontal="left"/>
    </xf>
    <xf numFmtId="164" fontId="0" fillId="0" borderId="4" xfId="1" applyFont="1" applyBorder="1" applyAlignment="1">
      <alignment horizontal="left"/>
    </xf>
    <xf numFmtId="164" fontId="0" fillId="0" borderId="6" xfId="1" applyFont="1" applyBorder="1" applyAlignment="1">
      <alignment horizontal="left"/>
    </xf>
    <xf numFmtId="164" fontId="0" fillId="0" borderId="9" xfId="1" applyFont="1" applyBorder="1" applyAlignment="1">
      <alignment horizontal="left"/>
    </xf>
    <xf numFmtId="0" fontId="0" fillId="0" borderId="0" xfId="0" applyAlignment="1">
      <alignment wrapText="1"/>
    </xf>
    <xf numFmtId="164" fontId="0" fillId="0" borderId="0" xfId="0" applyNumberFormat="1"/>
    <xf numFmtId="164" fontId="0" fillId="0" borderId="1" xfId="1" applyFont="1" applyBorder="1"/>
    <xf numFmtId="0" fontId="3" fillId="9" borderId="0" xfId="3" applyFill="1"/>
    <xf numFmtId="0" fontId="6" fillId="9" borderId="20" xfId="4" applyFont="1" applyFill="1" applyBorder="1" applyAlignment="1">
      <alignment horizontal="center"/>
    </xf>
    <xf numFmtId="0" fontId="6" fillId="9" borderId="0" xfId="4" applyFont="1" applyFill="1" applyAlignment="1">
      <alignment horizontal="center"/>
    </xf>
    <xf numFmtId="0" fontId="7" fillId="9" borderId="0" xfId="4" applyFont="1" applyFill="1" applyAlignment="1">
      <alignment horizontal="center" vertical="center"/>
    </xf>
    <xf numFmtId="39" fontId="7" fillId="9" borderId="0" xfId="4" applyNumberFormat="1" applyFont="1" applyFill="1" applyAlignment="1">
      <alignment horizontal="center" vertical="center"/>
    </xf>
    <xf numFmtId="168" fontId="7" fillId="9" borderId="0" xfId="5" applyNumberFormat="1" applyFont="1" applyFill="1" applyBorder="1" applyAlignment="1">
      <alignment horizontal="center" vertical="center"/>
    </xf>
    <xf numFmtId="168" fontId="7" fillId="9" borderId="21" xfId="5" applyNumberFormat="1" applyFont="1" applyFill="1" applyBorder="1" applyAlignment="1">
      <alignment horizontal="center" vertical="center"/>
    </xf>
    <xf numFmtId="170" fontId="6" fillId="9" borderId="20" xfId="6" applyNumberFormat="1" applyFont="1" applyFill="1" applyBorder="1" applyAlignment="1">
      <alignment vertical="center"/>
    </xf>
    <xf numFmtId="170" fontId="6" fillId="9" borderId="21" xfId="6" applyNumberFormat="1" applyFont="1" applyFill="1" applyBorder="1" applyAlignment="1">
      <alignment vertical="center"/>
    </xf>
    <xf numFmtId="170" fontId="6" fillId="9" borderId="0" xfId="6" applyNumberFormat="1" applyFont="1" applyFill="1" applyBorder="1" applyAlignment="1">
      <alignment vertical="center"/>
    </xf>
    <xf numFmtId="170" fontId="6" fillId="9" borderId="0" xfId="6" applyNumberFormat="1" applyFont="1" applyFill="1" applyBorder="1" applyAlignment="1">
      <alignment horizontal="center" vertical="center"/>
    </xf>
    <xf numFmtId="39" fontId="6" fillId="9" borderId="0" xfId="6" applyNumberFormat="1" applyFont="1" applyFill="1" applyBorder="1" applyAlignment="1">
      <alignment vertical="center"/>
    </xf>
    <xf numFmtId="171" fontId="6" fillId="9" borderId="22" xfId="6" applyNumberFormat="1" applyFont="1" applyFill="1" applyBorder="1" applyAlignment="1">
      <alignment vertical="center"/>
    </xf>
    <xf numFmtId="170" fontId="6" fillId="9" borderId="0" xfId="6" applyNumberFormat="1" applyFont="1" applyFill="1" applyBorder="1" applyAlignment="1">
      <alignment horizontal="right" vertical="center"/>
    </xf>
    <xf numFmtId="170" fontId="6" fillId="9" borderId="21" xfId="6" applyNumberFormat="1" applyFont="1" applyFill="1" applyBorder="1" applyAlignment="1">
      <alignment horizontal="center" vertical="center"/>
    </xf>
    <xf numFmtId="170" fontId="6" fillId="9" borderId="21" xfId="6" quotePrefix="1" applyNumberFormat="1" applyFont="1" applyFill="1" applyBorder="1" applyAlignment="1">
      <alignment vertical="center"/>
    </xf>
    <xf numFmtId="170" fontId="5" fillId="9" borderId="1" xfId="6" applyNumberFormat="1" applyFont="1" applyFill="1" applyBorder="1" applyAlignment="1">
      <alignment horizontal="center" vertical="center"/>
    </xf>
    <xf numFmtId="170" fontId="5" fillId="9" borderId="6" xfId="6" applyNumberFormat="1" applyFont="1" applyFill="1" applyBorder="1" applyAlignment="1">
      <alignment horizontal="center" vertical="center"/>
    </xf>
    <xf numFmtId="170" fontId="10" fillId="9" borderId="1" xfId="6" applyNumberFormat="1" applyFont="1" applyFill="1" applyBorder="1" applyAlignment="1">
      <alignment horizontal="center" vertical="center"/>
    </xf>
    <xf numFmtId="170" fontId="10" fillId="9" borderId="6" xfId="6" applyNumberFormat="1" applyFont="1" applyFill="1" applyBorder="1" applyAlignment="1">
      <alignment horizontal="center" vertical="center"/>
    </xf>
    <xf numFmtId="170" fontId="3" fillId="9" borderId="20" xfId="6" applyNumberFormat="1" applyFont="1" applyFill="1" applyBorder="1" applyAlignment="1">
      <alignment vertical="center"/>
    </xf>
    <xf numFmtId="170" fontId="3" fillId="9" borderId="0" xfId="6" applyNumberFormat="1" applyFont="1" applyFill="1" applyBorder="1" applyAlignment="1">
      <alignment vertical="center"/>
    </xf>
    <xf numFmtId="170" fontId="3" fillId="9" borderId="0" xfId="6" applyNumberFormat="1" applyFont="1" applyFill="1" applyBorder="1" applyAlignment="1">
      <alignment horizontal="center" vertical="center"/>
    </xf>
    <xf numFmtId="39" fontId="3" fillId="9" borderId="0" xfId="6" applyNumberFormat="1" applyFont="1" applyFill="1" applyBorder="1" applyAlignment="1">
      <alignment vertical="center"/>
    </xf>
    <xf numFmtId="170" fontId="3" fillId="9" borderId="21" xfId="6" applyNumberFormat="1" applyFont="1" applyFill="1" applyBorder="1" applyAlignment="1">
      <alignment vertical="center"/>
    </xf>
    <xf numFmtId="170" fontId="6" fillId="11" borderId="14" xfId="6" applyNumberFormat="1" applyFont="1" applyFill="1" applyBorder="1" applyAlignment="1">
      <alignment horizontal="center" vertical="center"/>
    </xf>
    <xf numFmtId="39" fontId="6" fillId="11" borderId="14" xfId="6" applyNumberFormat="1" applyFont="1" applyFill="1" applyBorder="1" applyAlignment="1">
      <alignment horizontal="center" vertical="center"/>
    </xf>
    <xf numFmtId="170" fontId="3" fillId="12" borderId="1" xfId="6" applyNumberFormat="1" applyFont="1" applyFill="1" applyBorder="1" applyAlignment="1">
      <alignment horizontal="right" vertical="center"/>
    </xf>
    <xf numFmtId="39" fontId="3" fillId="12" borderId="1" xfId="6" applyNumberFormat="1" applyFont="1" applyFill="1" applyBorder="1" applyAlignment="1">
      <alignment vertical="center"/>
    </xf>
    <xf numFmtId="170" fontId="3" fillId="12" borderId="1" xfId="6" applyNumberFormat="1" applyFont="1" applyFill="1" applyBorder="1" applyAlignment="1">
      <alignment vertical="center"/>
    </xf>
    <xf numFmtId="170" fontId="3" fillId="12" borderId="6" xfId="6" applyNumberFormat="1" applyFont="1" applyFill="1" applyBorder="1" applyAlignment="1">
      <alignment vertical="center"/>
    </xf>
    <xf numFmtId="170" fontId="3" fillId="9" borderId="1" xfId="6" applyNumberFormat="1" applyFont="1" applyFill="1" applyBorder="1" applyAlignment="1">
      <alignment horizontal="center" vertical="center"/>
    </xf>
    <xf numFmtId="169" fontId="3" fillId="9" borderId="1" xfId="6" applyFont="1" applyFill="1" applyBorder="1" applyAlignment="1">
      <alignment horizontal="center"/>
    </xf>
    <xf numFmtId="168" fontId="3" fillId="9" borderId="1" xfId="5" applyNumberFormat="1" applyFont="1" applyFill="1" applyBorder="1" applyAlignment="1">
      <alignment vertical="center"/>
    </xf>
    <xf numFmtId="168" fontId="3" fillId="9" borderId="6" xfId="5" applyNumberFormat="1" applyFont="1" applyFill="1" applyBorder="1" applyAlignment="1">
      <alignment vertical="center"/>
    </xf>
    <xf numFmtId="164" fontId="3" fillId="9" borderId="0" xfId="1" applyFont="1" applyFill="1"/>
    <xf numFmtId="169" fontId="3" fillId="9" borderId="1" xfId="6" applyFont="1" applyFill="1" applyBorder="1" applyAlignment="1">
      <alignment horizontal="center" vertical="center"/>
    </xf>
    <xf numFmtId="39" fontId="3" fillId="9" borderId="0" xfId="6" applyNumberFormat="1" applyFont="1" applyFill="1" applyBorder="1" applyAlignment="1">
      <alignment horizontal="center" vertical="center"/>
    </xf>
    <xf numFmtId="168" fontId="6" fillId="9" borderId="21" xfId="5" applyNumberFormat="1" applyFont="1" applyFill="1" applyBorder="1" applyAlignment="1">
      <alignment vertical="center"/>
    </xf>
    <xf numFmtId="170" fontId="3" fillId="12" borderId="1" xfId="6" applyNumberFormat="1" applyFont="1" applyFill="1" applyBorder="1" applyAlignment="1">
      <alignment horizontal="center" vertical="center"/>
    </xf>
    <xf numFmtId="39" fontId="3" fillId="12" borderId="1" xfId="6" applyNumberFormat="1" applyFont="1" applyFill="1" applyBorder="1" applyAlignment="1">
      <alignment horizontal="center" vertical="center"/>
    </xf>
    <xf numFmtId="170" fontId="5" fillId="9" borderId="20" xfId="6" applyNumberFormat="1" applyFont="1" applyFill="1" applyBorder="1" applyAlignment="1">
      <alignment vertical="center"/>
    </xf>
    <xf numFmtId="168" fontId="12" fillId="13" borderId="16" xfId="5" applyNumberFormat="1" applyFont="1" applyFill="1" applyBorder="1" applyAlignment="1">
      <alignment vertical="center"/>
    </xf>
    <xf numFmtId="168" fontId="11" fillId="9" borderId="0" xfId="5" applyNumberFormat="1" applyFont="1" applyFill="1" applyBorder="1" applyAlignment="1">
      <alignment horizontal="right" vertical="center"/>
    </xf>
    <xf numFmtId="168" fontId="12" fillId="13" borderId="0" xfId="5" applyNumberFormat="1" applyFont="1" applyFill="1" applyBorder="1" applyAlignment="1">
      <alignment vertical="center"/>
    </xf>
    <xf numFmtId="168" fontId="6" fillId="9" borderId="16" xfId="3" applyNumberFormat="1" applyFont="1" applyFill="1" applyBorder="1"/>
    <xf numFmtId="170" fontId="3" fillId="9" borderId="24" xfId="6" applyNumberFormat="1" applyFont="1" applyFill="1" applyBorder="1" applyAlignment="1">
      <alignment horizontal="left" vertical="center"/>
    </xf>
    <xf numFmtId="170" fontId="3" fillId="9" borderId="25" xfId="6" applyNumberFormat="1" applyFont="1" applyFill="1" applyBorder="1" applyAlignment="1">
      <alignment horizontal="left" vertical="center"/>
    </xf>
    <xf numFmtId="170" fontId="3" fillId="9" borderId="26" xfId="6" applyNumberFormat="1" applyFont="1" applyFill="1" applyBorder="1" applyAlignment="1">
      <alignment horizontal="left" vertical="center"/>
    </xf>
    <xf numFmtId="164" fontId="6" fillId="12" borderId="6" xfId="1" applyFont="1" applyFill="1" applyBorder="1" applyAlignment="1">
      <alignment vertical="center"/>
    </xf>
    <xf numFmtId="170" fontId="6" fillId="11" borderId="27" xfId="6" applyNumberFormat="1" applyFont="1" applyFill="1" applyBorder="1" applyAlignment="1">
      <alignment horizontal="center" vertical="center"/>
    </xf>
    <xf numFmtId="170" fontId="6" fillId="11" borderId="1" xfId="6" applyNumberFormat="1" applyFont="1" applyFill="1" applyBorder="1" applyAlignment="1">
      <alignment horizontal="center" vertical="center"/>
    </xf>
    <xf numFmtId="0" fontId="3" fillId="7" borderId="0" xfId="3" applyFill="1"/>
    <xf numFmtId="164" fontId="2" fillId="6" borderId="15" xfId="1" applyFont="1" applyFill="1" applyBorder="1"/>
    <xf numFmtId="0" fontId="0" fillId="0" borderId="1" xfId="0" applyBorder="1" applyAlignment="1">
      <alignment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wrapText="1"/>
    </xf>
    <xf numFmtId="164" fontId="2" fillId="6" borderId="13" xfId="1" applyFont="1" applyFill="1" applyBorder="1" applyAlignment="1">
      <alignment horizontal="center"/>
    </xf>
    <xf numFmtId="164" fontId="2" fillId="0" borderId="16" xfId="0" applyNumberFormat="1" applyFont="1" applyBorder="1"/>
    <xf numFmtId="0" fontId="2" fillId="7" borderId="29" xfId="0" applyFont="1" applyFill="1" applyBorder="1" applyAlignment="1">
      <alignment horizontal="center"/>
    </xf>
    <xf numFmtId="164" fontId="0" fillId="0" borderId="0" xfId="1" applyFont="1" applyBorder="1"/>
    <xf numFmtId="164" fontId="2" fillId="4" borderId="15" xfId="1" applyFont="1" applyFill="1" applyBorder="1"/>
    <xf numFmtId="164" fontId="2" fillId="6" borderId="13" xfId="1" applyFont="1" applyFill="1" applyBorder="1" applyAlignment="1">
      <alignment wrapText="1"/>
    </xf>
    <xf numFmtId="164" fontId="2" fillId="4" borderId="13" xfId="1" applyFont="1" applyFill="1" applyBorder="1" applyAlignment="1">
      <alignment wrapText="1"/>
    </xf>
    <xf numFmtId="166" fontId="0" fillId="0" borderId="0" xfId="0" applyNumberFormat="1"/>
    <xf numFmtId="164" fontId="2" fillId="4" borderId="30" xfId="1" applyFont="1" applyFill="1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4" xfId="0" applyBorder="1"/>
    <xf numFmtId="164" fontId="0" fillId="0" borderId="3" xfId="1" applyFont="1" applyBorder="1"/>
    <xf numFmtId="164" fontId="0" fillId="0" borderId="4" xfId="0" applyNumberFormat="1" applyBorder="1"/>
    <xf numFmtId="164" fontId="0" fillId="0" borderId="6" xfId="0" applyNumberFormat="1" applyBorder="1"/>
    <xf numFmtId="164" fontId="0" fillId="0" borderId="8" xfId="1" applyFont="1" applyBorder="1"/>
    <xf numFmtId="164" fontId="0" fillId="0" borderId="9" xfId="0" applyNumberFormat="1" applyBorder="1"/>
    <xf numFmtId="0" fontId="0" fillId="0" borderId="31" xfId="0" applyBorder="1"/>
    <xf numFmtId="0" fontId="0" fillId="0" borderId="28" xfId="0" applyBorder="1" applyAlignment="1">
      <alignment wrapText="1"/>
    </xf>
    <xf numFmtId="0" fontId="0" fillId="0" borderId="32" xfId="0" applyBorder="1"/>
    <xf numFmtId="0" fontId="0" fillId="0" borderId="9" xfId="0" applyBorder="1"/>
    <xf numFmtId="164" fontId="2" fillId="5" borderId="16" xfId="1" applyFont="1" applyFill="1" applyBorder="1" applyAlignment="1">
      <alignment horizontal="center"/>
    </xf>
    <xf numFmtId="0" fontId="2" fillId="6" borderId="17" xfId="0" applyFont="1" applyFill="1" applyBorder="1"/>
    <xf numFmtId="0" fontId="2" fillId="6" borderId="18" xfId="0" applyFont="1" applyFill="1" applyBorder="1" applyAlignment="1">
      <alignment horizontal="right"/>
    </xf>
    <xf numFmtId="0" fontId="2" fillId="6" borderId="19" xfId="0" applyFont="1" applyFill="1" applyBorder="1"/>
    <xf numFmtId="0" fontId="2" fillId="4" borderId="17" xfId="0" applyFont="1" applyFill="1" applyBorder="1"/>
    <xf numFmtId="0" fontId="2" fillId="4" borderId="18" xfId="0" applyFont="1" applyFill="1" applyBorder="1" applyAlignment="1">
      <alignment horizontal="right"/>
    </xf>
    <xf numFmtId="0" fontId="0" fillId="4" borderId="19" xfId="0" applyFill="1" applyBorder="1"/>
    <xf numFmtId="0" fontId="2" fillId="5" borderId="17" xfId="0" applyFont="1" applyFill="1" applyBorder="1"/>
    <xf numFmtId="0" fontId="2" fillId="5" borderId="18" xfId="0" applyFont="1" applyFill="1" applyBorder="1" applyAlignment="1">
      <alignment horizontal="right"/>
    </xf>
    <xf numFmtId="0" fontId="2" fillId="5" borderId="19" xfId="0" applyFont="1" applyFill="1" applyBorder="1"/>
    <xf numFmtId="164" fontId="0" fillId="0" borderId="4" xfId="1" applyFont="1" applyBorder="1"/>
    <xf numFmtId="0" fontId="0" fillId="14" borderId="2" xfId="0" applyFill="1" applyBorder="1"/>
    <xf numFmtId="164" fontId="0" fillId="14" borderId="3" xfId="1" applyFont="1" applyFill="1" applyBorder="1"/>
    <xf numFmtId="164" fontId="0" fillId="14" borderId="4" xfId="0" applyNumberFormat="1" applyFill="1" applyBorder="1"/>
    <xf numFmtId="0" fontId="0" fillId="14" borderId="5" xfId="0" applyFill="1" applyBorder="1"/>
    <xf numFmtId="164" fontId="0" fillId="14" borderId="1" xfId="1" applyFont="1" applyFill="1" applyBorder="1"/>
    <xf numFmtId="164" fontId="0" fillId="14" borderId="6" xfId="0" applyNumberFormat="1" applyFill="1" applyBorder="1"/>
    <xf numFmtId="0" fontId="0" fillId="14" borderId="31" xfId="0" applyFill="1" applyBorder="1"/>
    <xf numFmtId="164" fontId="0" fillId="14" borderId="28" xfId="1" applyFont="1" applyFill="1" applyBorder="1"/>
    <xf numFmtId="164" fontId="0" fillId="14" borderId="32" xfId="0" applyNumberFormat="1" applyFill="1" applyBorder="1"/>
    <xf numFmtId="0" fontId="0" fillId="4" borderId="2" xfId="0" applyFill="1" applyBorder="1"/>
    <xf numFmtId="164" fontId="0" fillId="4" borderId="3" xfId="1" applyFont="1" applyFill="1" applyBorder="1"/>
    <xf numFmtId="164" fontId="0" fillId="4" borderId="4" xfId="0" applyNumberFormat="1" applyFill="1" applyBorder="1"/>
    <xf numFmtId="0" fontId="0" fillId="4" borderId="5" xfId="0" applyFill="1" applyBorder="1"/>
    <xf numFmtId="164" fontId="0" fillId="4" borderId="1" xfId="1" applyFont="1" applyFill="1" applyBorder="1"/>
    <xf numFmtId="164" fontId="0" fillId="4" borderId="6" xfId="0" applyNumberFormat="1" applyFill="1" applyBorder="1"/>
    <xf numFmtId="0" fontId="0" fillId="4" borderId="31" xfId="0" applyFill="1" applyBorder="1"/>
    <xf numFmtId="164" fontId="0" fillId="4" borderId="28" xfId="1" applyFont="1" applyFill="1" applyBorder="1"/>
    <xf numFmtId="164" fontId="0" fillId="4" borderId="32" xfId="0" applyNumberFormat="1" applyFill="1" applyBorder="1"/>
    <xf numFmtId="164" fontId="0" fillId="4" borderId="8" xfId="1" applyFont="1" applyFill="1" applyBorder="1"/>
    <xf numFmtId="164" fontId="0" fillId="4" borderId="9" xfId="0" applyNumberFormat="1" applyFill="1" applyBorder="1"/>
    <xf numFmtId="0" fontId="13" fillId="0" borderId="0" xfId="7" applyAlignment="1">
      <alignment wrapText="1"/>
    </xf>
    <xf numFmtId="164" fontId="2" fillId="5" borderId="13" xfId="1" applyFont="1" applyFill="1" applyBorder="1" applyAlignment="1">
      <alignment wrapText="1"/>
    </xf>
    <xf numFmtId="164" fontId="2" fillId="5" borderId="15" xfId="1" applyFont="1" applyFill="1" applyBorder="1"/>
    <xf numFmtId="164" fontId="2" fillId="5" borderId="16" xfId="1" applyFont="1" applyFill="1" applyBorder="1"/>
    <xf numFmtId="164" fontId="2" fillId="6" borderId="16" xfId="1" applyFont="1" applyFill="1" applyBorder="1"/>
    <xf numFmtId="0" fontId="0" fillId="0" borderId="1" xfId="0" applyBorder="1" applyAlignment="1">
      <alignment horizontal="right"/>
    </xf>
    <xf numFmtId="164" fontId="0" fillId="15" borderId="1" xfId="1" applyFont="1" applyFill="1" applyBorder="1" applyAlignment="1">
      <alignment horizontal="left"/>
    </xf>
    <xf numFmtId="164" fontId="0" fillId="0" borderId="1" xfId="1" applyFont="1" applyBorder="1" applyAlignment="1">
      <alignment horizontal="left"/>
    </xf>
    <xf numFmtId="164" fontId="0" fillId="16" borderId="1" xfId="1" applyFont="1" applyFill="1" applyBorder="1" applyAlignment="1">
      <alignment horizontal="left"/>
    </xf>
    <xf numFmtId="0" fontId="0" fillId="5" borderId="2" xfId="0" applyFill="1" applyBorder="1"/>
    <xf numFmtId="164" fontId="0" fillId="5" borderId="3" xfId="1" applyFont="1" applyFill="1" applyBorder="1"/>
    <xf numFmtId="164" fontId="0" fillId="5" borderId="4" xfId="0" applyNumberFormat="1" applyFill="1" applyBorder="1"/>
    <xf numFmtId="0" fontId="0" fillId="5" borderId="5" xfId="0" applyFill="1" applyBorder="1"/>
    <xf numFmtId="164" fontId="0" fillId="5" borderId="1" xfId="1" applyFont="1" applyFill="1" applyBorder="1"/>
    <xf numFmtId="164" fontId="0" fillId="5" borderId="6" xfId="0" applyNumberFormat="1" applyFill="1" applyBorder="1"/>
    <xf numFmtId="164" fontId="0" fillId="5" borderId="28" xfId="1" applyFont="1" applyFill="1" applyBorder="1"/>
    <xf numFmtId="164" fontId="0" fillId="5" borderId="32" xfId="0" applyNumberFormat="1" applyFill="1" applyBorder="1"/>
    <xf numFmtId="0" fontId="0" fillId="5" borderId="7" xfId="0" applyFill="1" applyBorder="1"/>
    <xf numFmtId="164" fontId="0" fillId="5" borderId="8" xfId="1" applyFont="1" applyFill="1" applyBorder="1"/>
    <xf numFmtId="164" fontId="0" fillId="5" borderId="9" xfId="0" applyNumberFormat="1" applyFill="1" applyBorder="1"/>
    <xf numFmtId="0" fontId="0" fillId="2" borderId="1" xfId="0" applyFill="1" applyBorder="1" applyAlignment="1">
      <alignment wrapText="1"/>
    </xf>
    <xf numFmtId="0" fontId="13" fillId="0" borderId="0" xfId="7"/>
    <xf numFmtId="164" fontId="2" fillId="6" borderId="19" xfId="1" applyFont="1" applyFill="1" applyBorder="1"/>
    <xf numFmtId="0" fontId="0" fillId="5" borderId="10" xfId="0" applyFill="1" applyBorder="1"/>
    <xf numFmtId="164" fontId="0" fillId="5" borderId="11" xfId="1" applyFont="1" applyFill="1" applyBorder="1"/>
    <xf numFmtId="164" fontId="0" fillId="5" borderId="12" xfId="0" applyNumberFormat="1" applyFill="1" applyBorder="1"/>
    <xf numFmtId="0" fontId="0" fillId="0" borderId="33" xfId="0" applyBorder="1"/>
    <xf numFmtId="0" fontId="0" fillId="0" borderId="34" xfId="0" applyBorder="1"/>
    <xf numFmtId="164" fontId="0" fillId="0" borderId="34" xfId="1" applyFont="1" applyBorder="1"/>
    <xf numFmtId="0" fontId="0" fillId="0" borderId="20" xfId="0" applyBorder="1"/>
    <xf numFmtId="164" fontId="2" fillId="0" borderId="0" xfId="1" applyFont="1" applyBorder="1" applyAlignment="1">
      <alignment horizontal="left"/>
    </xf>
    <xf numFmtId="164" fontId="0" fillId="0" borderId="21" xfId="0" applyNumberFormat="1" applyBorder="1"/>
    <xf numFmtId="164" fontId="2" fillId="0" borderId="0" xfId="1" applyFont="1" applyBorder="1"/>
    <xf numFmtId="0" fontId="0" fillId="0" borderId="21" xfId="0" applyBorder="1"/>
    <xf numFmtId="164" fontId="0" fillId="2" borderId="0" xfId="1" applyFont="1" applyFill="1" applyBorder="1"/>
    <xf numFmtId="164" fontId="0" fillId="2" borderId="21" xfId="1" applyFont="1" applyFill="1" applyBorder="1"/>
    <xf numFmtId="164" fontId="0" fillId="16" borderId="6" xfId="1" applyFont="1" applyFill="1" applyBorder="1" applyAlignment="1">
      <alignment horizontal="left"/>
    </xf>
    <xf numFmtId="164" fontId="0" fillId="15" borderId="6" xfId="1" applyFont="1" applyFill="1" applyBorder="1" applyAlignment="1">
      <alignment horizontal="left"/>
    </xf>
    <xf numFmtId="0" fontId="0" fillId="0" borderId="35" xfId="0" applyBorder="1"/>
    <xf numFmtId="0" fontId="0" fillId="0" borderId="36" xfId="0" applyBorder="1"/>
    <xf numFmtId="0" fontId="0" fillId="0" borderId="8" xfId="0" applyBorder="1" applyAlignment="1">
      <alignment horizontal="right"/>
    </xf>
    <xf numFmtId="164" fontId="0" fillId="15" borderId="8" xfId="1" applyFont="1" applyFill="1" applyBorder="1" applyAlignment="1">
      <alignment horizontal="left"/>
    </xf>
    <xf numFmtId="164" fontId="0" fillId="0" borderId="8" xfId="1" applyFont="1" applyBorder="1" applyAlignment="1">
      <alignment horizontal="left"/>
    </xf>
    <xf numFmtId="164" fontId="0" fillId="15" borderId="9" xfId="1" applyFont="1" applyFill="1" applyBorder="1" applyAlignment="1">
      <alignment horizontal="left"/>
    </xf>
    <xf numFmtId="0" fontId="14" fillId="0" borderId="1" xfId="0" applyFont="1" applyBorder="1" applyAlignment="1">
      <alignment wrapText="1"/>
    </xf>
    <xf numFmtId="0" fontId="14" fillId="0" borderId="0" xfId="0" applyFont="1"/>
    <xf numFmtId="172" fontId="15" fillId="17" borderId="1" xfId="8" applyFont="1" applyFill="1" applyBorder="1" applyAlignment="1">
      <alignment horizontal="center" vertical="center"/>
    </xf>
    <xf numFmtId="0" fontId="0" fillId="0" borderId="0" xfId="0" applyBorder="1"/>
    <xf numFmtId="0" fontId="13" fillId="0" borderId="26" xfId="7" applyBorder="1" applyAlignment="1">
      <alignment horizontal="left" wrapText="1"/>
    </xf>
    <xf numFmtId="0" fontId="13" fillId="0" borderId="24" xfId="7" applyBorder="1" applyAlignment="1">
      <alignment horizontal="left" wrapText="1"/>
    </xf>
    <xf numFmtId="0" fontId="13" fillId="0" borderId="37" xfId="7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21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25" xfId="0" applyBorder="1" applyAlignment="1">
      <alignment horizontal="left" wrapText="1"/>
    </xf>
    <xf numFmtId="170" fontId="3" fillId="9" borderId="26" xfId="6" applyNumberFormat="1" applyFont="1" applyFill="1" applyBorder="1" applyAlignment="1">
      <alignment horizontal="left" vertical="center"/>
    </xf>
    <xf numFmtId="170" fontId="3" fillId="9" borderId="24" xfId="6" applyNumberFormat="1" applyFont="1" applyFill="1" applyBorder="1" applyAlignment="1">
      <alignment horizontal="left" vertical="center"/>
    </xf>
    <xf numFmtId="170" fontId="3" fillId="9" borderId="25" xfId="6" applyNumberFormat="1" applyFont="1" applyFill="1" applyBorder="1" applyAlignment="1">
      <alignment horizontal="left" vertical="center"/>
    </xf>
    <xf numFmtId="0" fontId="4" fillId="8" borderId="17" xfId="2" applyFont="1" applyFill="1" applyBorder="1" applyAlignment="1">
      <alignment horizontal="center" vertical="center"/>
    </xf>
    <xf numFmtId="0" fontId="4" fillId="8" borderId="18" xfId="2" applyFont="1" applyFill="1" applyBorder="1" applyAlignment="1">
      <alignment horizontal="center" vertical="center"/>
    </xf>
    <xf numFmtId="0" fontId="4" fillId="8" borderId="19" xfId="2" applyFont="1" applyFill="1" applyBorder="1" applyAlignment="1">
      <alignment horizontal="center" vertical="center"/>
    </xf>
    <xf numFmtId="170" fontId="8" fillId="9" borderId="22" xfId="6" applyNumberFormat="1" applyFont="1" applyFill="1" applyBorder="1" applyAlignment="1">
      <alignment horizontal="left" vertical="center"/>
    </xf>
    <xf numFmtId="170" fontId="6" fillId="9" borderId="22" xfId="6" applyNumberFormat="1" applyFont="1" applyFill="1" applyBorder="1" applyAlignment="1">
      <alignment horizontal="left" vertical="center"/>
    </xf>
    <xf numFmtId="170" fontId="9" fillId="9" borderId="22" xfId="6" applyNumberFormat="1" applyFont="1" applyFill="1" applyBorder="1" applyAlignment="1">
      <alignment horizontal="left" vertical="center"/>
    </xf>
    <xf numFmtId="170" fontId="5" fillId="10" borderId="1" xfId="6" applyNumberFormat="1" applyFont="1" applyFill="1" applyBorder="1" applyAlignment="1">
      <alignment horizontal="center" vertical="center" wrapText="1"/>
    </xf>
    <xf numFmtId="0" fontId="10" fillId="10" borderId="23" xfId="6" applyNumberFormat="1" applyFont="1" applyFill="1" applyBorder="1" applyAlignment="1">
      <alignment horizontal="center" vertical="center" wrapText="1"/>
    </xf>
    <xf numFmtId="0" fontId="10" fillId="10" borderId="24" xfId="6" applyNumberFormat="1" applyFont="1" applyFill="1" applyBorder="1" applyAlignment="1">
      <alignment horizontal="center" vertical="center" wrapText="1"/>
    </xf>
    <xf numFmtId="0" fontId="10" fillId="10" borderId="25" xfId="6" applyNumberFormat="1" applyFont="1" applyFill="1" applyBorder="1" applyAlignment="1">
      <alignment horizontal="center" vertical="center" wrapText="1"/>
    </xf>
    <xf numFmtId="170" fontId="6" fillId="11" borderId="13" xfId="6" applyNumberFormat="1" applyFont="1" applyFill="1" applyBorder="1" applyAlignment="1">
      <alignment horizontal="center" vertical="center"/>
    </xf>
    <xf numFmtId="170" fontId="6" fillId="11" borderId="14" xfId="6" applyNumberFormat="1" applyFont="1" applyFill="1" applyBorder="1" applyAlignment="1">
      <alignment horizontal="center" vertical="center"/>
    </xf>
    <xf numFmtId="170" fontId="6" fillId="12" borderId="5" xfId="6" applyNumberFormat="1" applyFont="1" applyFill="1" applyBorder="1" applyAlignment="1">
      <alignment horizontal="left" vertical="center"/>
    </xf>
    <xf numFmtId="170" fontId="6" fillId="12" borderId="1" xfId="6" applyNumberFormat="1" applyFont="1" applyFill="1" applyBorder="1" applyAlignment="1">
      <alignment horizontal="left" vertical="center"/>
    </xf>
    <xf numFmtId="170" fontId="3" fillId="9" borderId="5" xfId="6" applyNumberFormat="1" applyFont="1" applyFill="1" applyBorder="1" applyAlignment="1">
      <alignment horizontal="left" vertical="center"/>
    </xf>
    <xf numFmtId="170" fontId="3" fillId="9" borderId="1" xfId="6" applyNumberFormat="1" applyFont="1" applyFill="1" applyBorder="1" applyAlignment="1">
      <alignment horizontal="left" vertical="center"/>
    </xf>
    <xf numFmtId="170" fontId="3" fillId="9" borderId="5" xfId="6" applyNumberFormat="1" applyFont="1" applyFill="1" applyBorder="1" applyAlignment="1">
      <alignment horizontal="center" vertical="center"/>
    </xf>
    <xf numFmtId="170" fontId="3" fillId="9" borderId="1" xfId="6" applyNumberFormat="1" applyFont="1" applyFill="1" applyBorder="1" applyAlignment="1">
      <alignment horizontal="center" vertical="center"/>
    </xf>
    <xf numFmtId="168" fontId="11" fillId="9" borderId="17" xfId="5" applyNumberFormat="1" applyFont="1" applyFill="1" applyBorder="1" applyAlignment="1">
      <alignment horizontal="right" vertical="center"/>
    </xf>
    <xf numFmtId="168" fontId="11" fillId="9" borderId="18" xfId="5" applyNumberFormat="1" applyFont="1" applyFill="1" applyBorder="1" applyAlignment="1">
      <alignment horizontal="right" vertical="center"/>
    </xf>
    <xf numFmtId="168" fontId="11" fillId="9" borderId="19" xfId="5" applyNumberFormat="1" applyFont="1" applyFill="1" applyBorder="1" applyAlignment="1">
      <alignment horizontal="right" vertical="center"/>
    </xf>
  </cellXfs>
  <cellStyles count="9">
    <cellStyle name="Hipervínculo" xfId="7" builtinId="8"/>
    <cellStyle name="Millares 2 2" xfId="6"/>
    <cellStyle name="Moneda [0]" xfId="1" builtinId="7"/>
    <cellStyle name="Moneda [0] 2" xfId="8"/>
    <cellStyle name="Moneda 2 2" xfId="5"/>
    <cellStyle name="Normal" xfId="0" builtinId="0"/>
    <cellStyle name="Normal 2 2" xfId="3"/>
    <cellStyle name="Normal_Actas finales" xfId="4"/>
    <cellStyle name="Normal_Hoja1" xfId="2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/Mi%20unidad/0%20CONSTRUCTORA%20ESCUADR%20ARQ%20SAS/3-GERENCIA%20DISE&#209;OS%20Y%20CONSTRUCCIONES/1-%20COTIZACIONES/2025/2025-64-%20LICITACION%20PISOS%20Y%20ENCHAPES%20ARPRO%20EL%20POLO/4.%20Formato%20de%20cantidades%20Enchapes%20y%20afinados.%20revison%204%20agosto%202025.xlsx?31F99B29" TargetMode="External"/><Relationship Id="rId1" Type="http://schemas.openxmlformats.org/officeDocument/2006/relationships/externalLinkPath" Target="file:///\\31F99B29\4.%20Formato%20de%20cantidades%20Enchapes%20y%20afinados.%20revison%204%20agosto%20202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Oferta Economica (2)"/>
      <sheetName val="AFINADO 4 CMS "/>
      <sheetName val="AFINADO BALCONES  4 CMS  "/>
      <sheetName val="AFINADO LLANA MET "/>
      <sheetName val="MEDIA CAÑA"/>
      <sheetName val="AFINADO ENDURECIDO"/>
      <sheetName val="CERAMICA M2"/>
      <sheetName val="PORCELANATO M2 (2)"/>
      <sheetName val="CERAMICA ML"/>
      <sheetName val="PORCELANATO ML"/>
      <sheetName val="IMPERMEABILIZACION "/>
      <sheetName val="Modelo apu "/>
    </sheetNames>
    <sheetDataSet>
      <sheetData sheetId="0">
        <row r="16">
          <cell r="A16" t="str">
            <v>1.1</v>
          </cell>
          <cell r="F16" t="str">
            <v>m2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omecenter.com.co/homecenter-co/product/511825/riel-spot-3-luces-gu10-negro/511825/?kid=shopp_goosho_1430593&amp;shop=1&amp;gad_source=1&amp;gad_campaignid=20228062686&amp;gbraid=0AAAAADt6wnrGKkrRP8vI-IrN1wOGBOJZ4&amp;gclid=CjwKCAjw-dfOBhAjEiwAq0RwI-XMzeebtsL4e7iEEcLvCJnTVIAWXdM2k8iwyTAJ-bp25qe2KFrk_BoCt0EQAvD_BwE" TargetMode="External"/><Relationship Id="rId3" Type="http://schemas.openxmlformats.org/officeDocument/2006/relationships/hyperlink" Target="https://www.homecenter.com.co/homecenter-co/product/706690/horno-de-empotrar-60-cm-mixto-110-v-gas-natural-inoxidable-negro-h60eeval005/706690/" TargetMode="External"/><Relationship Id="rId7" Type="http://schemas.openxmlformats.org/officeDocument/2006/relationships/hyperlink" Target="https://www.homecenter.com.co/homecenter-co/product/138763/kit-de-instalacion-completo-para-lavaplatos-con-canastilla-4-pulgadas-en-polimero-sifon-en-p-de-polimerime-gris-2-acoples-para-griferia-de-lavaplatos-de-8-pulgadas-grival/138763/" TargetMode="External"/><Relationship Id="rId2" Type="http://schemas.openxmlformats.org/officeDocument/2006/relationships/hyperlink" Target="https://www.homecenter.com.co/homecenter-co/search?Ntt=estufa%20empotrar&amp;sTerm=estufa%20&amp;sType=suggest&amp;sScenario=BTP_SUG_estufa%20empotrar" TargetMode="External"/><Relationship Id="rId1" Type="http://schemas.openxmlformats.org/officeDocument/2006/relationships/hyperlink" Target="https://www.homecenter.com.co/homecenter-co/product/900325/griferia-lavaplatos-sencilla-gus-mueble-negra-sensi-dacqua/900325/" TargetMode="External"/><Relationship Id="rId6" Type="http://schemas.openxmlformats.org/officeDocument/2006/relationships/hyperlink" Target="https://www.homecenter.com.co/homecenter-co/product/478593/kit-accesorios-bano-grazia-negro-perchaportarrtoallero/478593/" TargetMode="External"/><Relationship Id="rId5" Type="http://schemas.openxmlformats.org/officeDocument/2006/relationships/hyperlink" Target="https://www.homecenter.com.co/homecenter-co/product/679512/kit-lavamanos-sobreponer-bowl-37-diam-vesselgriferia-agua-fria-acero-inox/679512/" TargetMode="External"/><Relationship Id="rId4" Type="http://schemas.openxmlformats.org/officeDocument/2006/relationships/hyperlink" Target="https://www.homecenter.com.co/homecenter-co/product/721667/griferia-ducha-monocontrol-nott-negraregadera-25x25brazo-red-30-cms/721667/" TargetMode="External"/><Relationship Id="rId9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69"/>
  <sheetViews>
    <sheetView tabSelected="1" workbookViewId="0">
      <selection activeCell="E7" sqref="E7"/>
    </sheetView>
  </sheetViews>
  <sheetFormatPr baseColWidth="10" defaultRowHeight="14.5"/>
  <cols>
    <col min="1" max="1" width="17.1796875" customWidth="1"/>
    <col min="2" max="2" width="50.54296875" customWidth="1"/>
    <col min="4" max="4" width="3.81640625" customWidth="1"/>
    <col min="5" max="5" width="12" bestFit="1" customWidth="1"/>
    <col min="6" max="6" width="18" bestFit="1" customWidth="1"/>
    <col min="7" max="7" width="12.54296875" bestFit="1" customWidth="1"/>
    <col min="8" max="8" width="8.81640625" customWidth="1"/>
    <col min="9" max="9" width="3.81640625" customWidth="1"/>
    <col min="10" max="10" width="9.26953125" customWidth="1"/>
    <col min="11" max="11" width="16.81640625" customWidth="1"/>
    <col min="12" max="12" width="18.453125" bestFit="1" customWidth="1"/>
    <col min="13" max="13" width="4" customWidth="1"/>
    <col min="14" max="14" width="7.1796875" bestFit="1" customWidth="1"/>
    <col min="15" max="15" width="19.7265625" customWidth="1"/>
    <col min="16" max="16" width="17.26953125" customWidth="1"/>
    <col min="17" max="17" width="3.54296875" customWidth="1"/>
    <col min="18" max="18" width="7.1796875" bestFit="1" customWidth="1"/>
    <col min="19" max="19" width="18.81640625" customWidth="1"/>
    <col min="20" max="20" width="16.1796875" customWidth="1"/>
    <col min="21" max="21" width="12.7265625" customWidth="1"/>
    <col min="22" max="22" width="118.81640625" customWidth="1"/>
    <col min="24" max="24" width="48.7265625" bestFit="1" customWidth="1"/>
    <col min="25" max="25" width="60.81640625" bestFit="1" customWidth="1"/>
    <col min="26" max="26" width="51.54296875" bestFit="1" customWidth="1"/>
    <col min="27" max="27" width="19" bestFit="1" customWidth="1"/>
  </cols>
  <sheetData>
    <row r="1" spans="1:22">
      <c r="E1" s="3" t="s">
        <v>6</v>
      </c>
      <c r="J1" s="3" t="s">
        <v>6</v>
      </c>
    </row>
    <row r="2" spans="1:22">
      <c r="E2" s="3" t="s">
        <v>0</v>
      </c>
      <c r="F2" t="s">
        <v>210</v>
      </c>
      <c r="J2" s="3" t="s">
        <v>0</v>
      </c>
      <c r="K2" t="s">
        <v>142</v>
      </c>
      <c r="O2" t="s">
        <v>1</v>
      </c>
      <c r="S2" t="s">
        <v>2</v>
      </c>
    </row>
    <row r="4" spans="1:22" ht="15" thickBot="1">
      <c r="E4" s="3" t="s">
        <v>8</v>
      </c>
      <c r="F4" s="4">
        <v>46113</v>
      </c>
      <c r="J4" s="3" t="s">
        <v>8</v>
      </c>
      <c r="K4" s="4">
        <v>46113</v>
      </c>
      <c r="N4" s="3" t="s">
        <v>8</v>
      </c>
      <c r="O4" s="4">
        <v>46113</v>
      </c>
      <c r="R4" s="3" t="s">
        <v>8</v>
      </c>
      <c r="S4" s="4">
        <v>46113</v>
      </c>
    </row>
    <row r="5" spans="1:22" ht="15" thickBot="1">
      <c r="E5" s="5" t="s">
        <v>3</v>
      </c>
      <c r="F5" s="6" t="s">
        <v>4</v>
      </c>
      <c r="G5" s="7" t="s">
        <v>5</v>
      </c>
      <c r="J5" s="5" t="s">
        <v>3</v>
      </c>
      <c r="K5" s="6" t="s">
        <v>4</v>
      </c>
      <c r="L5" s="7" t="s">
        <v>5</v>
      </c>
      <c r="N5" s="5" t="s">
        <v>3</v>
      </c>
      <c r="O5" s="6" t="s">
        <v>4</v>
      </c>
      <c r="P5" s="7" t="s">
        <v>5</v>
      </c>
      <c r="R5" s="5" t="s">
        <v>3</v>
      </c>
      <c r="S5" s="6" t="s">
        <v>4</v>
      </c>
      <c r="T5" s="7" t="s">
        <v>5</v>
      </c>
    </row>
    <row r="6" spans="1:22">
      <c r="E6" s="8">
        <v>30</v>
      </c>
      <c r="F6" s="9">
        <v>217000</v>
      </c>
      <c r="G6" s="10">
        <f>+E6*F6</f>
        <v>6510000</v>
      </c>
      <c r="J6" s="8">
        <v>28</v>
      </c>
      <c r="K6" s="9">
        <v>645300</v>
      </c>
      <c r="L6" s="10">
        <f>+J6*K6</f>
        <v>18068400</v>
      </c>
      <c r="N6" s="8">
        <f>+J6</f>
        <v>28</v>
      </c>
      <c r="O6" s="9">
        <v>823500</v>
      </c>
      <c r="P6" s="17">
        <v>20587500</v>
      </c>
      <c r="R6" s="18">
        <f>+J6</f>
        <v>28</v>
      </c>
      <c r="S6" s="19">
        <v>1083300</v>
      </c>
      <c r="T6" s="20">
        <v>27082500</v>
      </c>
    </row>
    <row r="7" spans="1:22">
      <c r="E7" s="11">
        <v>40</v>
      </c>
      <c r="F7" s="9">
        <v>217000</v>
      </c>
      <c r="G7" s="10">
        <f t="shared" ref="G7:G9" si="0">+E7*F7</f>
        <v>8680000</v>
      </c>
      <c r="J7" s="11">
        <v>32.799999999999997</v>
      </c>
      <c r="K7" s="12">
        <f>+L7/J7</f>
        <v>688582.31707317079</v>
      </c>
      <c r="L7" s="13">
        <v>22585500</v>
      </c>
      <c r="N7" s="11">
        <v>35</v>
      </c>
      <c r="O7" s="12">
        <v>823500</v>
      </c>
      <c r="P7" s="21">
        <f>+N7*O7</f>
        <v>28822500</v>
      </c>
      <c r="R7" s="11">
        <v>35</v>
      </c>
      <c r="S7" s="12">
        <f>+T7/R7</f>
        <v>1083300</v>
      </c>
      <c r="T7" s="21">
        <v>37915500</v>
      </c>
    </row>
    <row r="8" spans="1:22" ht="15" thickBot="1">
      <c r="E8" s="14">
        <v>45</v>
      </c>
      <c r="F8" s="9">
        <v>217000</v>
      </c>
      <c r="G8" s="10">
        <f t="shared" si="0"/>
        <v>9765000</v>
      </c>
      <c r="J8" s="14">
        <v>46.1</v>
      </c>
      <c r="K8" s="15">
        <f>+L8/J8</f>
        <v>699891.54013015178</v>
      </c>
      <c r="L8" s="16">
        <v>32265000</v>
      </c>
      <c r="N8" s="14">
        <v>47</v>
      </c>
      <c r="O8" s="15">
        <f>+P8/N8</f>
        <v>876063.82978723408</v>
      </c>
      <c r="P8" s="22">
        <v>41175000</v>
      </c>
      <c r="R8" s="14">
        <v>47</v>
      </c>
      <c r="S8" s="15">
        <f>+T8/R8</f>
        <v>1152446.8085106383</v>
      </c>
      <c r="T8" s="22">
        <v>54165000</v>
      </c>
    </row>
    <row r="9" spans="1:22" ht="15" thickBot="1">
      <c r="E9" s="14">
        <v>50</v>
      </c>
      <c r="F9" s="9">
        <v>217000</v>
      </c>
      <c r="G9" s="10">
        <f t="shared" si="0"/>
        <v>10850000</v>
      </c>
      <c r="J9" s="14">
        <v>50</v>
      </c>
      <c r="K9" s="15">
        <f>+L9/J9</f>
        <v>645300</v>
      </c>
      <c r="L9" s="16">
        <v>32265000</v>
      </c>
      <c r="N9" s="14">
        <v>52</v>
      </c>
      <c r="O9" s="15">
        <f>+P9/N9</f>
        <v>791826.92307692312</v>
      </c>
      <c r="P9" s="22">
        <v>41175000</v>
      </c>
      <c r="R9" s="14">
        <v>52</v>
      </c>
      <c r="S9" s="15">
        <f>+T9/R9</f>
        <v>1041634.6153846154</v>
      </c>
      <c r="T9" s="22">
        <v>54165000</v>
      </c>
    </row>
    <row r="10" spans="1:22">
      <c r="P10" s="92"/>
      <c r="T10" s="24"/>
    </row>
    <row r="11" spans="1:22" ht="15" thickBot="1">
      <c r="E11" s="3" t="s">
        <v>140</v>
      </c>
      <c r="J11" s="3" t="s">
        <v>140</v>
      </c>
      <c r="N11" s="3" t="s">
        <v>140</v>
      </c>
      <c r="P11" s="92"/>
      <c r="R11" s="3" t="s">
        <v>140</v>
      </c>
      <c r="T11" s="24"/>
    </row>
    <row r="12" spans="1:22" ht="15" thickBot="1">
      <c r="E12" s="107" t="s">
        <v>7</v>
      </c>
      <c r="F12" s="108" t="s">
        <v>210</v>
      </c>
      <c r="G12" s="109"/>
      <c r="J12" s="107" t="s">
        <v>7</v>
      </c>
      <c r="K12" s="108" t="s">
        <v>138</v>
      </c>
      <c r="L12" s="109"/>
      <c r="N12" s="110" t="s">
        <v>7</v>
      </c>
      <c r="O12" s="111" t="s">
        <v>141</v>
      </c>
      <c r="P12" s="112"/>
      <c r="R12" s="113" t="s">
        <v>7</v>
      </c>
      <c r="S12" s="114" t="s">
        <v>137</v>
      </c>
      <c r="T12" s="115"/>
    </row>
    <row r="13" spans="1:22" ht="15" thickBot="1">
      <c r="E13" s="2"/>
      <c r="J13" s="2"/>
    </row>
    <row r="14" spans="1:22" ht="15" thickBot="1">
      <c r="A14" s="87" t="s">
        <v>10</v>
      </c>
      <c r="B14" s="87" t="s">
        <v>38</v>
      </c>
      <c r="C14" s="87" t="s">
        <v>11</v>
      </c>
      <c r="E14" s="85" t="s">
        <v>119</v>
      </c>
      <c r="F14" s="85" t="s">
        <v>120</v>
      </c>
      <c r="G14" s="85" t="s">
        <v>121</v>
      </c>
      <c r="J14" s="85" t="s">
        <v>119</v>
      </c>
      <c r="K14" s="85" t="s">
        <v>120</v>
      </c>
      <c r="L14" s="85" t="s">
        <v>121</v>
      </c>
      <c r="N14" s="93" t="s">
        <v>119</v>
      </c>
      <c r="O14" s="93" t="s">
        <v>120</v>
      </c>
      <c r="P14" s="93" t="s">
        <v>121</v>
      </c>
      <c r="R14" s="106" t="s">
        <v>119</v>
      </c>
      <c r="S14" s="106" t="s">
        <v>120</v>
      </c>
      <c r="T14" s="106" t="s">
        <v>121</v>
      </c>
      <c r="V14" s="106" t="s">
        <v>154</v>
      </c>
    </row>
    <row r="15" spans="1:22" ht="29">
      <c r="A15" s="94" t="s">
        <v>19</v>
      </c>
      <c r="B15" s="95" t="s">
        <v>20</v>
      </c>
      <c r="C15" s="96" t="s">
        <v>21</v>
      </c>
      <c r="E15" s="117">
        <f>+E9</f>
        <v>50</v>
      </c>
      <c r="F15" s="118">
        <f>+K15*0.5</f>
        <v>25000</v>
      </c>
      <c r="G15" s="119">
        <f t="shared" ref="G15:G20" si="1">+E15*F15</f>
        <v>1250000</v>
      </c>
      <c r="J15" s="117">
        <f>+J9</f>
        <v>50</v>
      </c>
      <c r="K15" s="118">
        <v>50000</v>
      </c>
      <c r="L15" s="119">
        <f t="shared" ref="L15:L20" si="2">+J15*K15</f>
        <v>2500000</v>
      </c>
      <c r="N15" s="126">
        <f t="shared" ref="N15:O17" si="3">+J15</f>
        <v>50</v>
      </c>
      <c r="O15" s="127">
        <f t="shared" si="3"/>
        <v>50000</v>
      </c>
      <c r="P15" s="128">
        <f>+N15*O15</f>
        <v>2500000</v>
      </c>
      <c r="R15" s="146">
        <f t="shared" ref="R15:S17" si="4">+J15</f>
        <v>50</v>
      </c>
      <c r="S15" s="147">
        <f t="shared" si="4"/>
        <v>50000</v>
      </c>
      <c r="T15" s="148">
        <f>+R15*S15</f>
        <v>2500000</v>
      </c>
    </row>
    <row r="16" spans="1:22" ht="35.25" customHeight="1">
      <c r="A16" s="81" t="s">
        <v>19</v>
      </c>
      <c r="B16" s="80" t="s">
        <v>188</v>
      </c>
      <c r="C16" s="82" t="s">
        <v>21</v>
      </c>
      <c r="E16" s="120">
        <f>+E15</f>
        <v>50</v>
      </c>
      <c r="F16" s="121">
        <v>40000</v>
      </c>
      <c r="G16" s="122">
        <f t="shared" si="1"/>
        <v>2000000</v>
      </c>
      <c r="J16" s="120">
        <f>+J15</f>
        <v>50</v>
      </c>
      <c r="K16" s="121">
        <v>94470</v>
      </c>
      <c r="L16" s="122">
        <f t="shared" si="2"/>
        <v>4723500</v>
      </c>
      <c r="N16" s="129">
        <f t="shared" si="3"/>
        <v>50</v>
      </c>
      <c r="O16" s="130">
        <f t="shared" si="3"/>
        <v>94470</v>
      </c>
      <c r="P16" s="131">
        <f>+N16*O16</f>
        <v>4723500</v>
      </c>
      <c r="R16" s="149">
        <f>+J16</f>
        <v>50</v>
      </c>
      <c r="S16" s="150">
        <f t="shared" si="4"/>
        <v>94470</v>
      </c>
      <c r="T16" s="151">
        <f>+R16*S16</f>
        <v>4723500</v>
      </c>
    </row>
    <row r="17" spans="1:23" ht="36" customHeight="1">
      <c r="A17" s="81" t="s">
        <v>22</v>
      </c>
      <c r="B17" s="80" t="s">
        <v>36</v>
      </c>
      <c r="C17" s="82" t="s">
        <v>21</v>
      </c>
      <c r="E17" s="120">
        <f>+E15*3</f>
        <v>150</v>
      </c>
      <c r="F17" s="121">
        <v>30000</v>
      </c>
      <c r="G17" s="122">
        <f t="shared" si="1"/>
        <v>4500000</v>
      </c>
      <c r="J17" s="120">
        <f>+J15*3</f>
        <v>150</v>
      </c>
      <c r="K17" s="121">
        <v>61750</v>
      </c>
      <c r="L17" s="122">
        <f t="shared" si="2"/>
        <v>9262500</v>
      </c>
      <c r="N17" s="129">
        <f t="shared" si="3"/>
        <v>150</v>
      </c>
      <c r="O17" s="130">
        <f t="shared" si="3"/>
        <v>61750</v>
      </c>
      <c r="P17" s="131">
        <f>+N17*O17</f>
        <v>9262500</v>
      </c>
      <c r="R17" s="149">
        <f>+J17</f>
        <v>150</v>
      </c>
      <c r="S17" s="150">
        <f t="shared" si="4"/>
        <v>61750</v>
      </c>
      <c r="T17" s="151">
        <f>+R17*S17</f>
        <v>9262500</v>
      </c>
    </row>
    <row r="18" spans="1:23" ht="36" customHeight="1">
      <c r="A18" s="81" t="s">
        <v>22</v>
      </c>
      <c r="B18" s="80" t="s">
        <v>89</v>
      </c>
      <c r="C18" s="82" t="s">
        <v>21</v>
      </c>
      <c r="E18" s="120">
        <v>15</v>
      </c>
      <c r="F18" s="121">
        <v>40000</v>
      </c>
      <c r="G18" s="122">
        <f t="shared" si="1"/>
        <v>600000</v>
      </c>
      <c r="J18" s="120">
        <v>15</v>
      </c>
      <c r="K18" s="121">
        <v>94470</v>
      </c>
      <c r="L18" s="122">
        <f t="shared" si="2"/>
        <v>1417050</v>
      </c>
      <c r="N18" s="129">
        <f t="shared" ref="N18:N19" si="5">+J18</f>
        <v>15</v>
      </c>
      <c r="O18" s="130">
        <f t="shared" ref="O18:O20" si="6">+K18</f>
        <v>94470</v>
      </c>
      <c r="P18" s="131">
        <f t="shared" ref="P18:P20" si="7">+N18*O18</f>
        <v>1417050</v>
      </c>
      <c r="R18" s="149">
        <f>+J18</f>
        <v>15</v>
      </c>
      <c r="S18" s="150">
        <f t="shared" ref="S18:S20" si="8">+K18</f>
        <v>94470</v>
      </c>
      <c r="T18" s="151">
        <f t="shared" ref="T18:T20" si="9">+R18*S18</f>
        <v>1417050</v>
      </c>
    </row>
    <row r="19" spans="1:23" ht="68.25" customHeight="1">
      <c r="A19" s="81" t="s">
        <v>37</v>
      </c>
      <c r="B19" s="80" t="s">
        <v>186</v>
      </c>
      <c r="C19" s="82" t="s">
        <v>21</v>
      </c>
      <c r="E19" s="120">
        <f>+E15</f>
        <v>50</v>
      </c>
      <c r="F19" s="121">
        <v>50000</v>
      </c>
      <c r="G19" s="122">
        <f t="shared" si="1"/>
        <v>2500000</v>
      </c>
      <c r="J19" s="120">
        <f>+J15</f>
        <v>50</v>
      </c>
      <c r="K19" s="121">
        <v>150000</v>
      </c>
      <c r="L19" s="122">
        <f t="shared" si="2"/>
        <v>7500000</v>
      </c>
      <c r="N19" s="129">
        <f t="shared" si="5"/>
        <v>50</v>
      </c>
      <c r="O19" s="130">
        <f t="shared" si="6"/>
        <v>150000</v>
      </c>
      <c r="P19" s="131">
        <f t="shared" si="7"/>
        <v>7500000</v>
      </c>
      <c r="R19" s="149">
        <f>+J19</f>
        <v>50</v>
      </c>
      <c r="S19" s="150">
        <f t="shared" si="8"/>
        <v>150000</v>
      </c>
      <c r="T19" s="151">
        <f t="shared" si="9"/>
        <v>7500000</v>
      </c>
    </row>
    <row r="20" spans="1:23" ht="15" thickBot="1">
      <c r="A20" s="102" t="s">
        <v>116</v>
      </c>
      <c r="B20" s="103" t="s">
        <v>117</v>
      </c>
      <c r="C20" s="104" t="s">
        <v>21</v>
      </c>
      <c r="E20" s="123">
        <f>+E15</f>
        <v>50</v>
      </c>
      <c r="F20" s="124"/>
      <c r="G20" s="125">
        <f t="shared" si="1"/>
        <v>0</v>
      </c>
      <c r="J20" s="123">
        <f>+J15</f>
        <v>50</v>
      </c>
      <c r="K20" s="124">
        <v>12000</v>
      </c>
      <c r="L20" s="125">
        <f t="shared" si="2"/>
        <v>600000</v>
      </c>
      <c r="N20" s="132">
        <f>+N15</f>
        <v>50</v>
      </c>
      <c r="O20" s="133">
        <f t="shared" si="6"/>
        <v>12000</v>
      </c>
      <c r="P20" s="134">
        <f t="shared" si="7"/>
        <v>600000</v>
      </c>
      <c r="R20" s="154">
        <f>+J20</f>
        <v>50</v>
      </c>
      <c r="S20" s="155">
        <f t="shared" si="8"/>
        <v>12000</v>
      </c>
      <c r="T20" s="156">
        <f t="shared" si="9"/>
        <v>600000</v>
      </c>
    </row>
    <row r="21" spans="1:23" ht="15" thickBot="1">
      <c r="A21" s="94" t="s">
        <v>128</v>
      </c>
      <c r="B21" s="95" t="s">
        <v>122</v>
      </c>
      <c r="C21" s="96" t="s">
        <v>123</v>
      </c>
      <c r="E21" s="94"/>
      <c r="F21" s="97"/>
      <c r="G21" s="116" t="s">
        <v>144</v>
      </c>
      <c r="J21" s="94"/>
      <c r="K21" s="97"/>
      <c r="L21" s="116" t="s">
        <v>144</v>
      </c>
      <c r="N21" s="126">
        <v>3</v>
      </c>
      <c r="O21" s="127">
        <v>800000</v>
      </c>
      <c r="P21" s="128">
        <f>+N21*O21</f>
        <v>2400000</v>
      </c>
      <c r="R21" s="160">
        <f>+N21</f>
        <v>3</v>
      </c>
      <c r="S21" s="161">
        <f>+O21</f>
        <v>800000</v>
      </c>
      <c r="T21" s="162">
        <f>+R21*S21</f>
        <v>2400000</v>
      </c>
    </row>
    <row r="22" spans="1:23" ht="29.5" thickBot="1">
      <c r="A22" s="81" t="s">
        <v>128</v>
      </c>
      <c r="B22" s="80" t="s">
        <v>125</v>
      </c>
      <c r="C22" s="82" t="s">
        <v>123</v>
      </c>
      <c r="E22" s="81"/>
      <c r="F22" s="25"/>
      <c r="G22" s="99" t="s">
        <v>144</v>
      </c>
      <c r="J22" s="81"/>
      <c r="K22" s="25"/>
      <c r="L22" s="99" t="s">
        <v>144</v>
      </c>
      <c r="N22" s="129">
        <v>2</v>
      </c>
      <c r="O22" s="130">
        <v>1800000</v>
      </c>
      <c r="P22" s="131">
        <f>+N22*O22</f>
        <v>3600000</v>
      </c>
      <c r="R22" s="146">
        <f>+N22</f>
        <v>2</v>
      </c>
      <c r="S22" s="150">
        <f t="shared" ref="S22:S30" si="10">+O22</f>
        <v>1800000</v>
      </c>
      <c r="T22" s="151">
        <f>+R22*S22</f>
        <v>3600000</v>
      </c>
    </row>
    <row r="23" spans="1:23" ht="15" thickBot="1">
      <c r="A23" s="81" t="s">
        <v>128</v>
      </c>
      <c r="B23" s="80" t="s">
        <v>129</v>
      </c>
      <c r="C23" s="82" t="s">
        <v>123</v>
      </c>
      <c r="E23" s="81"/>
      <c r="F23" s="25"/>
      <c r="G23" s="99" t="s">
        <v>144</v>
      </c>
      <c r="J23" s="81"/>
      <c r="K23" s="25"/>
      <c r="L23" s="99" t="s">
        <v>144</v>
      </c>
      <c r="N23" s="129">
        <v>1</v>
      </c>
      <c r="O23" s="130">
        <v>1600000</v>
      </c>
      <c r="P23" s="131">
        <f>+N23*O23</f>
        <v>1600000</v>
      </c>
      <c r="R23" s="146">
        <f>+N23</f>
        <v>1</v>
      </c>
      <c r="S23" s="150">
        <f t="shared" si="10"/>
        <v>1600000</v>
      </c>
      <c r="T23" s="151">
        <f>+R23*S23</f>
        <v>1600000</v>
      </c>
    </row>
    <row r="24" spans="1:23" ht="29.5" thickBot="1">
      <c r="A24" s="81" t="s">
        <v>128</v>
      </c>
      <c r="B24" s="80" t="s">
        <v>143</v>
      </c>
      <c r="C24" s="82" t="s">
        <v>123</v>
      </c>
      <c r="E24" s="81"/>
      <c r="F24" s="25"/>
      <c r="G24" s="99" t="s">
        <v>144</v>
      </c>
      <c r="J24" s="81"/>
      <c r="K24" s="25"/>
      <c r="L24" s="99" t="s">
        <v>144</v>
      </c>
      <c r="N24" s="129">
        <v>1</v>
      </c>
      <c r="O24" s="130"/>
      <c r="P24" s="131" t="s">
        <v>144</v>
      </c>
      <c r="R24" s="146">
        <f>+N24</f>
        <v>1</v>
      </c>
      <c r="S24" s="150">
        <v>1600000</v>
      </c>
      <c r="T24" s="151">
        <f>+R24*S24</f>
        <v>1600000</v>
      </c>
    </row>
    <row r="25" spans="1:23" ht="29.5" thickBot="1">
      <c r="A25" s="81" t="s">
        <v>128</v>
      </c>
      <c r="B25" s="80" t="s">
        <v>126</v>
      </c>
      <c r="C25" s="82" t="s">
        <v>123</v>
      </c>
      <c r="E25" s="81"/>
      <c r="F25" s="25"/>
      <c r="G25" s="99" t="s">
        <v>144</v>
      </c>
      <c r="J25" s="81"/>
      <c r="K25" s="25"/>
      <c r="L25" s="99" t="s">
        <v>144</v>
      </c>
      <c r="N25" s="129">
        <v>1</v>
      </c>
      <c r="O25" s="130">
        <v>850000</v>
      </c>
      <c r="P25" s="131">
        <f>+N25*O25</f>
        <v>850000</v>
      </c>
      <c r="R25" s="146">
        <f>+N25</f>
        <v>1</v>
      </c>
      <c r="S25" s="150">
        <f t="shared" si="10"/>
        <v>850000</v>
      </c>
      <c r="T25" s="151" t="s">
        <v>144</v>
      </c>
    </row>
    <row r="26" spans="1:23" ht="15" thickBot="1">
      <c r="A26" s="81" t="s">
        <v>128</v>
      </c>
      <c r="B26" s="157" t="s">
        <v>135</v>
      </c>
      <c r="C26" s="82" t="s">
        <v>123</v>
      </c>
      <c r="E26" s="81"/>
      <c r="F26" s="25"/>
      <c r="G26" s="99" t="s">
        <v>144</v>
      </c>
      <c r="J26" s="81"/>
      <c r="K26" s="25"/>
      <c r="L26" s="99" t="s">
        <v>144</v>
      </c>
      <c r="N26" s="129">
        <v>2</v>
      </c>
      <c r="O26" s="130">
        <v>500000</v>
      </c>
      <c r="P26" s="131">
        <f t="shared" ref="P26" si="11">+N26*O26</f>
        <v>1000000</v>
      </c>
      <c r="R26" s="146">
        <f t="shared" ref="R26:R30" si="12">+N26</f>
        <v>2</v>
      </c>
      <c r="S26" s="150">
        <f t="shared" si="10"/>
        <v>500000</v>
      </c>
      <c r="T26" s="151">
        <f t="shared" ref="T26:T28" si="13">+R26*S26</f>
        <v>1000000</v>
      </c>
    </row>
    <row r="27" spans="1:23" ht="15" thickBot="1">
      <c r="A27" s="81" t="s">
        <v>128</v>
      </c>
      <c r="B27" s="80" t="s">
        <v>131</v>
      </c>
      <c r="C27" s="82" t="s">
        <v>123</v>
      </c>
      <c r="E27" s="81"/>
      <c r="F27" s="25"/>
      <c r="G27" s="99" t="s">
        <v>144</v>
      </c>
      <c r="J27" s="81"/>
      <c r="K27" s="25"/>
      <c r="L27" s="99" t="s">
        <v>144</v>
      </c>
      <c r="N27" s="129">
        <v>1</v>
      </c>
      <c r="O27" s="130">
        <v>500000</v>
      </c>
      <c r="P27" s="131">
        <f t="shared" ref="P27" si="14">+N27*O27</f>
        <v>500000</v>
      </c>
      <c r="R27" s="146">
        <f t="shared" si="12"/>
        <v>1</v>
      </c>
      <c r="S27" s="150">
        <f t="shared" si="10"/>
        <v>500000</v>
      </c>
      <c r="T27" s="151">
        <f t="shared" si="13"/>
        <v>500000</v>
      </c>
    </row>
    <row r="28" spans="1:23" ht="29.5" thickBot="1">
      <c r="A28" s="81" t="s">
        <v>130</v>
      </c>
      <c r="B28" s="80" t="s">
        <v>189</v>
      </c>
      <c r="C28" s="82" t="s">
        <v>123</v>
      </c>
      <c r="E28" s="81"/>
      <c r="F28" s="25"/>
      <c r="G28" s="99" t="s">
        <v>144</v>
      </c>
      <c r="J28" s="81"/>
      <c r="K28" s="25"/>
      <c r="L28" s="99" t="s">
        <v>144</v>
      </c>
      <c r="N28" s="129">
        <v>1</v>
      </c>
      <c r="O28" s="130">
        <v>300000</v>
      </c>
      <c r="P28" s="131">
        <f t="shared" ref="P28" si="15">+N28*O28</f>
        <v>300000</v>
      </c>
      <c r="R28" s="146">
        <f t="shared" si="12"/>
        <v>1</v>
      </c>
      <c r="S28" s="150">
        <f t="shared" si="10"/>
        <v>300000</v>
      </c>
      <c r="T28" s="151">
        <f t="shared" si="13"/>
        <v>300000</v>
      </c>
      <c r="V28" s="137" t="s">
        <v>156</v>
      </c>
    </row>
    <row r="29" spans="1:23" ht="29.5" thickBot="1">
      <c r="A29" s="81" t="s">
        <v>133</v>
      </c>
      <c r="B29" s="80" t="s">
        <v>134</v>
      </c>
      <c r="C29" s="82" t="s">
        <v>123</v>
      </c>
      <c r="E29" s="81"/>
      <c r="F29" s="25"/>
      <c r="G29" s="99" t="s">
        <v>144</v>
      </c>
      <c r="J29" s="81"/>
      <c r="K29" s="25"/>
      <c r="L29" s="99" t="s">
        <v>144</v>
      </c>
      <c r="N29" s="129">
        <v>2</v>
      </c>
      <c r="O29" s="130">
        <v>1000000</v>
      </c>
      <c r="P29" s="131">
        <f t="shared" ref="P29" si="16">+N29*O29</f>
        <v>2000000</v>
      </c>
      <c r="R29" s="146">
        <f t="shared" si="12"/>
        <v>2</v>
      </c>
      <c r="S29" s="150">
        <f t="shared" si="10"/>
        <v>1000000</v>
      </c>
      <c r="T29" s="151">
        <f>+R29*S29</f>
        <v>2000000</v>
      </c>
    </row>
    <row r="30" spans="1:23" ht="15" thickBot="1">
      <c r="A30" s="102" t="s">
        <v>133</v>
      </c>
      <c r="B30" s="103" t="s">
        <v>139</v>
      </c>
      <c r="C30" s="104" t="s">
        <v>123</v>
      </c>
      <c r="E30" s="83"/>
      <c r="F30" s="100"/>
      <c r="G30" s="101" t="s">
        <v>144</v>
      </c>
      <c r="J30" s="83"/>
      <c r="K30" s="100"/>
      <c r="L30" s="101" t="s">
        <v>144</v>
      </c>
      <c r="N30" s="129">
        <v>2</v>
      </c>
      <c r="O30" s="135">
        <v>500000</v>
      </c>
      <c r="P30" s="136">
        <f t="shared" ref="P30" si="17">+N30*O30</f>
        <v>1000000</v>
      </c>
      <c r="R30" s="146">
        <f t="shared" si="12"/>
        <v>2</v>
      </c>
      <c r="S30" s="152">
        <f t="shared" si="10"/>
        <v>500000</v>
      </c>
      <c r="T30" s="153">
        <f>+R30*S30</f>
        <v>1000000</v>
      </c>
    </row>
    <row r="31" spans="1:23" ht="29">
      <c r="A31" s="94" t="s">
        <v>130</v>
      </c>
      <c r="B31" s="95" t="s">
        <v>191</v>
      </c>
      <c r="C31" s="96" t="s">
        <v>123</v>
      </c>
      <c r="E31" s="94"/>
      <c r="F31" s="97"/>
      <c r="G31" s="98" t="s">
        <v>144</v>
      </c>
      <c r="J31" s="94"/>
      <c r="K31" s="97"/>
      <c r="L31" s="98" t="s">
        <v>144</v>
      </c>
      <c r="N31" s="94"/>
      <c r="O31" s="97"/>
      <c r="P31" s="98" t="s">
        <v>144</v>
      </c>
      <c r="R31" s="146">
        <v>1</v>
      </c>
      <c r="S31" s="147">
        <v>1000000</v>
      </c>
      <c r="T31" s="148">
        <f t="shared" ref="T31" si="18">+R31*S31</f>
        <v>1000000</v>
      </c>
      <c r="V31" s="137" t="s">
        <v>157</v>
      </c>
      <c r="W31" t="s">
        <v>190</v>
      </c>
    </row>
    <row r="32" spans="1:23" ht="29">
      <c r="A32" s="81" t="s">
        <v>130</v>
      </c>
      <c r="B32" s="80" t="s">
        <v>192</v>
      </c>
      <c r="C32" s="82" t="s">
        <v>123</v>
      </c>
      <c r="E32" s="81"/>
      <c r="F32" s="25"/>
      <c r="G32" s="99" t="s">
        <v>144</v>
      </c>
      <c r="J32" s="81"/>
      <c r="K32" s="25"/>
      <c r="L32" s="99" t="s">
        <v>144</v>
      </c>
      <c r="N32" s="81"/>
      <c r="O32" s="25"/>
      <c r="P32" s="99" t="s">
        <v>144</v>
      </c>
      <c r="R32" s="149">
        <v>1</v>
      </c>
      <c r="S32" s="150">
        <v>1000000</v>
      </c>
      <c r="T32" s="151">
        <f t="shared" ref="T32" si="19">+R32*S32</f>
        <v>1000000</v>
      </c>
      <c r="V32" s="137" t="s">
        <v>155</v>
      </c>
    </row>
    <row r="33" spans="1:27">
      <c r="A33" s="81" t="s">
        <v>146</v>
      </c>
      <c r="B33" s="80" t="s">
        <v>150</v>
      </c>
      <c r="C33" s="82" t="s">
        <v>123</v>
      </c>
      <c r="E33" s="81"/>
      <c r="F33" s="25"/>
      <c r="G33" s="99" t="s">
        <v>144</v>
      </c>
      <c r="J33" s="81"/>
      <c r="K33" s="25"/>
      <c r="L33" s="99" t="s">
        <v>144</v>
      </c>
      <c r="N33" s="81"/>
      <c r="O33" s="25"/>
      <c r="P33" s="99" t="s">
        <v>144</v>
      </c>
      <c r="R33" s="149">
        <v>1</v>
      </c>
      <c r="S33" s="150">
        <v>250000</v>
      </c>
      <c r="T33" s="151">
        <f t="shared" ref="T33:T34" si="20">+R33*S33</f>
        <v>250000</v>
      </c>
    </row>
    <row r="34" spans="1:27" ht="64.5" customHeight="1">
      <c r="A34" s="81" t="s">
        <v>145</v>
      </c>
      <c r="B34" s="80" t="s">
        <v>193</v>
      </c>
      <c r="C34" s="82" t="s">
        <v>123</v>
      </c>
      <c r="E34" s="81"/>
      <c r="F34" s="25"/>
      <c r="G34" s="99" t="s">
        <v>144</v>
      </c>
      <c r="J34" s="81"/>
      <c r="K34" s="25"/>
      <c r="L34" s="99" t="s">
        <v>144</v>
      </c>
      <c r="N34" s="81"/>
      <c r="O34" s="25"/>
      <c r="P34" s="99" t="s">
        <v>144</v>
      </c>
      <c r="R34" s="149">
        <v>2</v>
      </c>
      <c r="S34" s="150">
        <v>900000</v>
      </c>
      <c r="T34" s="151">
        <f t="shared" si="20"/>
        <v>1800000</v>
      </c>
      <c r="V34" s="137"/>
      <c r="X34" s="181" t="s">
        <v>195</v>
      </c>
      <c r="Y34" s="181" t="s">
        <v>196</v>
      </c>
      <c r="Z34" s="181" t="s">
        <v>197</v>
      </c>
      <c r="AA34" s="182"/>
    </row>
    <row r="35" spans="1:27" ht="64.5" customHeight="1">
      <c r="A35" s="81" t="s">
        <v>145</v>
      </c>
      <c r="B35" s="80" t="s">
        <v>194</v>
      </c>
      <c r="C35" s="82" t="s">
        <v>123</v>
      </c>
      <c r="E35" s="81"/>
      <c r="F35" s="25"/>
      <c r="G35" s="99" t="s">
        <v>144</v>
      </c>
      <c r="J35" s="81"/>
      <c r="K35" s="25"/>
      <c r="L35" s="99" t="s">
        <v>144</v>
      </c>
      <c r="N35" s="81"/>
      <c r="O35" s="25"/>
      <c r="P35" s="99" t="s">
        <v>144</v>
      </c>
      <c r="R35" s="149">
        <v>2</v>
      </c>
      <c r="S35" s="150">
        <v>200000</v>
      </c>
      <c r="T35" s="151">
        <f t="shared" ref="T35" si="21">+R35*S35</f>
        <v>400000</v>
      </c>
      <c r="X35" s="181" t="s">
        <v>198</v>
      </c>
      <c r="Y35" s="181" t="s">
        <v>199</v>
      </c>
      <c r="Z35" s="181" t="s">
        <v>200</v>
      </c>
      <c r="AA35" s="182" t="s">
        <v>201</v>
      </c>
    </row>
    <row r="36" spans="1:27" ht="25.5" customHeight="1">
      <c r="A36" s="81" t="s">
        <v>145</v>
      </c>
      <c r="B36" s="80" t="s">
        <v>166</v>
      </c>
      <c r="C36" s="82" t="s">
        <v>123</v>
      </c>
      <c r="E36" s="81"/>
      <c r="F36" s="25"/>
      <c r="G36" s="99" t="s">
        <v>144</v>
      </c>
      <c r="J36" s="81"/>
      <c r="K36" s="25"/>
      <c r="L36" s="99" t="s">
        <v>144</v>
      </c>
      <c r="N36" s="81"/>
      <c r="O36" s="25"/>
      <c r="P36" s="99" t="s">
        <v>144</v>
      </c>
      <c r="R36" s="149">
        <v>2</v>
      </c>
      <c r="S36" s="150">
        <v>56900</v>
      </c>
      <c r="T36" s="151">
        <f t="shared" ref="T36:T37" si="22">+R36*S36</f>
        <v>113800</v>
      </c>
      <c r="V36" s="137" t="s">
        <v>167</v>
      </c>
      <c r="X36" s="183">
        <v>449900</v>
      </c>
      <c r="Y36" s="183">
        <v>249900</v>
      </c>
      <c r="Z36" s="183">
        <v>199900</v>
      </c>
      <c r="AA36" s="183">
        <f>+X36+Y36+Z36</f>
        <v>899700</v>
      </c>
    </row>
    <row r="37" spans="1:27">
      <c r="A37" s="81" t="s">
        <v>145</v>
      </c>
      <c r="B37" s="80" t="s">
        <v>168</v>
      </c>
      <c r="C37" s="82" t="s">
        <v>123</v>
      </c>
      <c r="E37" s="81"/>
      <c r="F37" s="25"/>
      <c r="G37" s="99" t="s">
        <v>144</v>
      </c>
      <c r="J37" s="81"/>
      <c r="K37" s="25"/>
      <c r="L37" s="99" t="s">
        <v>144</v>
      </c>
      <c r="N37" s="81"/>
      <c r="O37" s="25"/>
      <c r="P37" s="99" t="s">
        <v>144</v>
      </c>
      <c r="R37" s="149">
        <v>2</v>
      </c>
      <c r="S37" s="150">
        <v>50000</v>
      </c>
      <c r="T37" s="151">
        <f t="shared" si="22"/>
        <v>100000</v>
      </c>
    </row>
    <row r="38" spans="1:27">
      <c r="A38" s="81" t="s">
        <v>145</v>
      </c>
      <c r="B38" s="80" t="s">
        <v>170</v>
      </c>
      <c r="C38" s="82" t="s">
        <v>123</v>
      </c>
      <c r="E38" s="81"/>
      <c r="F38" s="25"/>
      <c r="G38" s="99" t="s">
        <v>144</v>
      </c>
      <c r="J38" s="81"/>
      <c r="K38" s="25"/>
      <c r="L38" s="99" t="s">
        <v>144</v>
      </c>
      <c r="N38" s="81"/>
      <c r="O38" s="25"/>
      <c r="P38" s="99" t="s">
        <v>144</v>
      </c>
      <c r="R38" s="149">
        <v>2</v>
      </c>
      <c r="S38" s="150">
        <v>56900</v>
      </c>
      <c r="T38" s="151">
        <f t="shared" ref="T38:T39" si="23">+R38*S38</f>
        <v>113800</v>
      </c>
    </row>
    <row r="39" spans="1:27">
      <c r="A39" s="81" t="s">
        <v>145</v>
      </c>
      <c r="B39" s="80" t="s">
        <v>169</v>
      </c>
      <c r="C39" s="82" t="s">
        <v>123</v>
      </c>
      <c r="E39" s="81"/>
      <c r="F39" s="25"/>
      <c r="G39" s="99" t="s">
        <v>144</v>
      </c>
      <c r="J39" s="81"/>
      <c r="K39" s="25"/>
      <c r="L39" s="99" t="s">
        <v>144</v>
      </c>
      <c r="N39" s="81"/>
      <c r="O39" s="25"/>
      <c r="P39" s="99" t="s">
        <v>144</v>
      </c>
      <c r="R39" s="149">
        <v>2</v>
      </c>
      <c r="S39" s="150">
        <v>50000</v>
      </c>
      <c r="T39" s="151">
        <f t="shared" si="23"/>
        <v>100000</v>
      </c>
    </row>
    <row r="40" spans="1:27" ht="29">
      <c r="A40" s="81" t="s">
        <v>145</v>
      </c>
      <c r="B40" s="80" t="s">
        <v>158</v>
      </c>
      <c r="C40" s="82" t="s">
        <v>123</v>
      </c>
      <c r="E40" s="81"/>
      <c r="F40" s="25"/>
      <c r="G40" s="99" t="s">
        <v>144</v>
      </c>
      <c r="J40" s="81"/>
      <c r="K40" s="25"/>
      <c r="L40" s="99" t="s">
        <v>144</v>
      </c>
      <c r="N40" s="81"/>
      <c r="O40" s="25"/>
      <c r="P40" s="99" t="s">
        <v>144</v>
      </c>
      <c r="R40" s="149">
        <v>1</v>
      </c>
      <c r="S40" s="150">
        <v>108900</v>
      </c>
      <c r="T40" s="151">
        <f t="shared" ref="T40" si="24">+R40*S40</f>
        <v>108900</v>
      </c>
      <c r="V40" s="185" t="s">
        <v>202</v>
      </c>
      <c r="W40" s="186"/>
      <c r="X40" s="186"/>
      <c r="Y40" s="187"/>
    </row>
    <row r="41" spans="1:27" ht="29">
      <c r="A41" s="81" t="s">
        <v>145</v>
      </c>
      <c r="B41" s="80" t="s">
        <v>159</v>
      </c>
      <c r="C41" s="82" t="s">
        <v>123</v>
      </c>
      <c r="E41" s="81"/>
      <c r="F41" s="25"/>
      <c r="G41" s="99" t="s">
        <v>144</v>
      </c>
      <c r="J41" s="81"/>
      <c r="K41" s="25"/>
      <c r="L41" s="99" t="s">
        <v>144</v>
      </c>
      <c r="N41" s="81"/>
      <c r="O41" s="25"/>
      <c r="P41" s="99" t="s">
        <v>144</v>
      </c>
      <c r="R41" s="149">
        <v>1</v>
      </c>
      <c r="S41" s="150">
        <v>50000</v>
      </c>
      <c r="T41" s="151">
        <f t="shared" ref="T41:T42" si="25">+R41*S41</f>
        <v>50000</v>
      </c>
      <c r="V41" t="s">
        <v>183</v>
      </c>
    </row>
    <row r="42" spans="1:27" ht="29">
      <c r="A42" s="81" t="s">
        <v>148</v>
      </c>
      <c r="B42" s="80" t="s">
        <v>160</v>
      </c>
      <c r="C42" s="82" t="s">
        <v>123</v>
      </c>
      <c r="E42" s="81"/>
      <c r="F42" s="25"/>
      <c r="G42" s="99" t="s">
        <v>144</v>
      </c>
      <c r="J42" s="81"/>
      <c r="K42" s="25"/>
      <c r="L42" s="99" t="s">
        <v>144</v>
      </c>
      <c r="N42" s="81"/>
      <c r="O42" s="25"/>
      <c r="P42" s="99" t="s">
        <v>144</v>
      </c>
      <c r="R42" s="149">
        <v>1</v>
      </c>
      <c r="S42" s="150">
        <v>100000</v>
      </c>
      <c r="T42" s="151">
        <f t="shared" si="25"/>
        <v>100000</v>
      </c>
      <c r="V42" s="137" t="s">
        <v>161</v>
      </c>
    </row>
    <row r="43" spans="1:27" ht="29">
      <c r="A43" s="81" t="s">
        <v>148</v>
      </c>
      <c r="B43" s="80" t="s">
        <v>162</v>
      </c>
      <c r="C43" s="82" t="s">
        <v>123</v>
      </c>
      <c r="E43" s="81"/>
      <c r="F43" s="25"/>
      <c r="G43" s="99" t="s">
        <v>144</v>
      </c>
      <c r="J43" s="81"/>
      <c r="K43" s="25"/>
      <c r="L43" s="99" t="s">
        <v>144</v>
      </c>
      <c r="N43" s="81"/>
      <c r="O43" s="25"/>
      <c r="P43" s="99" t="s">
        <v>144</v>
      </c>
      <c r="R43" s="149">
        <v>1</v>
      </c>
      <c r="S43" s="150">
        <v>50000</v>
      </c>
      <c r="T43" s="151">
        <f t="shared" ref="T43" si="26">+R43*S43</f>
        <v>50000</v>
      </c>
    </row>
    <row r="44" spans="1:27" ht="43.5">
      <c r="A44" s="81" t="s">
        <v>148</v>
      </c>
      <c r="B44" s="80" t="s">
        <v>163</v>
      </c>
      <c r="C44" s="82" t="s">
        <v>123</v>
      </c>
      <c r="E44" s="81"/>
      <c r="F44" s="25"/>
      <c r="G44" s="99" t="s">
        <v>144</v>
      </c>
      <c r="J44" s="81"/>
      <c r="K44" s="25"/>
      <c r="L44" s="99" t="s">
        <v>144</v>
      </c>
      <c r="N44" s="81"/>
      <c r="O44" s="25"/>
      <c r="P44" s="99" t="s">
        <v>144</v>
      </c>
      <c r="R44" s="149">
        <v>1</v>
      </c>
      <c r="S44" s="150">
        <v>58900</v>
      </c>
      <c r="T44" s="151">
        <f t="shared" ref="T44" si="27">+R44*S44</f>
        <v>58900</v>
      </c>
      <c r="V44" s="137" t="s">
        <v>165</v>
      </c>
    </row>
    <row r="45" spans="1:27" ht="58">
      <c r="A45" s="81" t="s">
        <v>148</v>
      </c>
      <c r="B45" s="80" t="s">
        <v>164</v>
      </c>
      <c r="C45" s="82" t="s">
        <v>123</v>
      </c>
      <c r="E45" s="81"/>
      <c r="F45" s="25"/>
      <c r="G45" s="99" t="s">
        <v>144</v>
      </c>
      <c r="J45" s="81"/>
      <c r="K45" s="25"/>
      <c r="L45" s="99" t="s">
        <v>144</v>
      </c>
      <c r="N45" s="81"/>
      <c r="O45" s="25"/>
      <c r="P45" s="99" t="s">
        <v>144</v>
      </c>
      <c r="R45" s="149">
        <v>1</v>
      </c>
      <c r="S45" s="150">
        <v>50000</v>
      </c>
      <c r="T45" s="151">
        <f t="shared" ref="T45" si="28">+R45*S45</f>
        <v>50000</v>
      </c>
    </row>
    <row r="46" spans="1:27" ht="44.25" customHeight="1">
      <c r="A46" s="81" t="s">
        <v>148</v>
      </c>
      <c r="B46" s="80" t="s">
        <v>171</v>
      </c>
      <c r="C46" s="82" t="s">
        <v>123</v>
      </c>
      <c r="E46" s="81"/>
      <c r="F46" s="25"/>
      <c r="G46" s="99" t="s">
        <v>144</v>
      </c>
      <c r="J46" s="81"/>
      <c r="K46" s="25"/>
      <c r="L46" s="99" t="s">
        <v>144</v>
      </c>
      <c r="N46" s="81"/>
      <c r="O46" s="25"/>
      <c r="P46" s="99" t="s">
        <v>144</v>
      </c>
      <c r="R46" s="149">
        <v>2</v>
      </c>
      <c r="S46" s="150">
        <v>339900</v>
      </c>
      <c r="T46" s="151">
        <f t="shared" ref="T46" si="29">+R46*S46</f>
        <v>679800</v>
      </c>
      <c r="V46" s="137" t="s">
        <v>173</v>
      </c>
    </row>
    <row r="47" spans="1:27" ht="29">
      <c r="A47" s="81" t="s">
        <v>151</v>
      </c>
      <c r="B47" s="80" t="s">
        <v>172</v>
      </c>
      <c r="C47" s="82" t="s">
        <v>123</v>
      </c>
      <c r="E47" s="81"/>
      <c r="F47" s="25"/>
      <c r="G47" s="99" t="s">
        <v>144</v>
      </c>
      <c r="J47" s="81"/>
      <c r="K47" s="25"/>
      <c r="L47" s="99" t="s">
        <v>144</v>
      </c>
      <c r="N47" s="81"/>
      <c r="O47" s="25"/>
      <c r="P47" s="99" t="s">
        <v>144</v>
      </c>
      <c r="R47" s="149">
        <v>2</v>
      </c>
      <c r="S47" s="150">
        <v>50000</v>
      </c>
      <c r="T47" s="151">
        <f t="shared" ref="T47" si="30">+R47*S47</f>
        <v>100000</v>
      </c>
    </row>
    <row r="48" spans="1:27" ht="17.25" customHeight="1">
      <c r="A48" s="81" t="s">
        <v>149</v>
      </c>
      <c r="B48" s="80" t="s">
        <v>174</v>
      </c>
      <c r="C48" s="82" t="s">
        <v>123</v>
      </c>
      <c r="E48" s="81"/>
      <c r="F48" s="25"/>
      <c r="G48" s="99" t="s">
        <v>144</v>
      </c>
      <c r="J48" s="81"/>
      <c r="K48" s="25"/>
      <c r="L48" s="99" t="s">
        <v>144</v>
      </c>
      <c r="N48" s="81"/>
      <c r="O48" s="25"/>
      <c r="P48" s="99" t="s">
        <v>144</v>
      </c>
      <c r="R48" s="149">
        <v>1</v>
      </c>
      <c r="S48" s="150">
        <v>1400000</v>
      </c>
      <c r="T48" s="151">
        <f t="shared" ref="T48" si="31">+R48*S48</f>
        <v>1400000</v>
      </c>
    </row>
    <row r="49" spans="1:22">
      <c r="A49" s="81" t="s">
        <v>149</v>
      </c>
      <c r="B49" s="80" t="s">
        <v>175</v>
      </c>
      <c r="C49" s="82" t="s">
        <v>123</v>
      </c>
      <c r="E49" s="81"/>
      <c r="F49" s="25"/>
      <c r="G49" s="99" t="s">
        <v>144</v>
      </c>
      <c r="J49" s="81"/>
      <c r="K49" s="25"/>
      <c r="L49" s="99" t="s">
        <v>144</v>
      </c>
      <c r="N49" s="81"/>
      <c r="O49" s="25"/>
      <c r="P49" s="99" t="s">
        <v>144</v>
      </c>
      <c r="R49" s="149">
        <v>1</v>
      </c>
      <c r="S49" s="150">
        <v>850000</v>
      </c>
      <c r="T49" s="151">
        <f t="shared" ref="T49" si="32">+R49*S49</f>
        <v>850000</v>
      </c>
    </row>
    <row r="50" spans="1:22">
      <c r="A50" s="81" t="s">
        <v>149</v>
      </c>
      <c r="B50" s="80" t="s">
        <v>152</v>
      </c>
      <c r="C50" s="82" t="s">
        <v>123</v>
      </c>
      <c r="E50" s="81"/>
      <c r="F50" s="25"/>
      <c r="G50" s="99" t="s">
        <v>144</v>
      </c>
      <c r="J50" s="81"/>
      <c r="K50" s="25"/>
      <c r="L50" s="99" t="s">
        <v>144</v>
      </c>
      <c r="N50" s="81"/>
      <c r="O50" s="25"/>
      <c r="P50" s="99" t="s">
        <v>144</v>
      </c>
      <c r="R50" s="149">
        <v>2</v>
      </c>
      <c r="S50" s="150">
        <v>850000</v>
      </c>
      <c r="T50" s="151">
        <f t="shared" ref="T50" si="33">+R50*S50</f>
        <v>1700000</v>
      </c>
    </row>
    <row r="51" spans="1:22">
      <c r="A51" s="81" t="s">
        <v>153</v>
      </c>
      <c r="B51" s="80" t="s">
        <v>184</v>
      </c>
      <c r="C51" s="82" t="s">
        <v>123</v>
      </c>
      <c r="E51" s="81"/>
      <c r="F51" s="25"/>
      <c r="G51" s="99" t="s">
        <v>144</v>
      </c>
      <c r="J51" s="81"/>
      <c r="K51" s="25"/>
      <c r="L51" s="99" t="s">
        <v>144</v>
      </c>
      <c r="N51" s="81"/>
      <c r="O51" s="25"/>
      <c r="P51" s="99" t="s">
        <v>144</v>
      </c>
      <c r="R51" s="149">
        <v>1</v>
      </c>
      <c r="S51" s="150">
        <v>179900</v>
      </c>
      <c r="T51" s="151">
        <f t="shared" ref="T51:T52" si="34">+R51*S51</f>
        <v>179900</v>
      </c>
      <c r="V51" s="158"/>
    </row>
    <row r="52" spans="1:22" ht="52.5" customHeight="1" thickBot="1">
      <c r="A52" s="83" t="s">
        <v>153</v>
      </c>
      <c r="B52" s="84" t="s">
        <v>176</v>
      </c>
      <c r="C52" s="105" t="s">
        <v>123</v>
      </c>
      <c r="E52" s="83"/>
      <c r="F52" s="100"/>
      <c r="G52" s="101" t="s">
        <v>144</v>
      </c>
      <c r="J52" s="83"/>
      <c r="K52" s="100"/>
      <c r="L52" s="101" t="s">
        <v>144</v>
      </c>
      <c r="N52" s="83"/>
      <c r="O52" s="100"/>
      <c r="P52" s="101" t="s">
        <v>144</v>
      </c>
      <c r="R52" s="154">
        <v>1</v>
      </c>
      <c r="S52" s="155">
        <v>50000</v>
      </c>
      <c r="T52" s="156">
        <f t="shared" si="34"/>
        <v>50000</v>
      </c>
      <c r="V52" s="137" t="s">
        <v>177</v>
      </c>
    </row>
    <row r="53" spans="1:22" ht="15" thickBot="1">
      <c r="B53" s="23"/>
      <c r="F53" s="88"/>
      <c r="G53" s="24"/>
      <c r="K53" s="88"/>
      <c r="L53" s="24"/>
      <c r="O53" s="1"/>
      <c r="P53" s="24"/>
      <c r="S53" s="1"/>
      <c r="T53" s="24"/>
    </row>
    <row r="54" spans="1:22" ht="15" thickBot="1">
      <c r="B54" s="23"/>
      <c r="D54" s="163"/>
      <c r="E54" s="164"/>
      <c r="F54" s="165"/>
      <c r="G54" s="86">
        <f>SUM(G15:G53)</f>
        <v>10850000</v>
      </c>
      <c r="H54" s="164"/>
      <c r="I54" s="164"/>
      <c r="J54" s="164"/>
      <c r="K54" s="165"/>
      <c r="L54" s="86">
        <f>SUM(L15:L53)</f>
        <v>26003050</v>
      </c>
      <c r="M54" s="164"/>
      <c r="N54" s="164"/>
      <c r="O54" s="165"/>
      <c r="P54" s="86">
        <f>SUM(P15:P53)</f>
        <v>39253050</v>
      </c>
      <c r="Q54" s="164"/>
      <c r="R54" s="164"/>
      <c r="S54" s="165"/>
      <c r="T54" s="86">
        <f>SUM(T15:T53)</f>
        <v>50258150</v>
      </c>
    </row>
    <row r="55" spans="1:22">
      <c r="B55" s="23"/>
      <c r="D55" s="166"/>
      <c r="F55" s="167" t="s">
        <v>39</v>
      </c>
      <c r="G55" s="24"/>
      <c r="H55" s="184"/>
      <c r="I55" s="184"/>
      <c r="K55" s="167" t="s">
        <v>39</v>
      </c>
      <c r="L55" s="24">
        <f>+L54*0.12</f>
        <v>3120366</v>
      </c>
      <c r="O55" s="167" t="s">
        <v>39</v>
      </c>
      <c r="P55" s="24">
        <f>+P54*0.12</f>
        <v>4710366</v>
      </c>
      <c r="S55" s="167" t="s">
        <v>39</v>
      </c>
      <c r="T55" s="168">
        <f>+T54*0.12</f>
        <v>6030978</v>
      </c>
    </row>
    <row r="56" spans="1:22">
      <c r="B56" s="23"/>
      <c r="D56" s="166"/>
      <c r="F56" s="167" t="s">
        <v>40</v>
      </c>
      <c r="G56" s="24"/>
      <c r="H56" s="184"/>
      <c r="I56" s="184"/>
      <c r="K56" s="167" t="s">
        <v>40</v>
      </c>
      <c r="L56" s="24">
        <f>+L54*0.03</f>
        <v>780091.5</v>
      </c>
      <c r="O56" s="167" t="s">
        <v>40</v>
      </c>
      <c r="P56" s="24">
        <f>+P54*0.03</f>
        <v>1177591.5</v>
      </c>
      <c r="S56" s="167" t="s">
        <v>40</v>
      </c>
      <c r="T56" s="168">
        <f>+T54*0.03</f>
        <v>1507744.5</v>
      </c>
    </row>
    <row r="57" spans="1:22" ht="15" thickBot="1">
      <c r="B57" s="23"/>
      <c r="D57" s="166"/>
      <c r="F57" s="169" t="s">
        <v>41</v>
      </c>
      <c r="G57" s="24"/>
      <c r="H57" s="184"/>
      <c r="I57" s="184"/>
      <c r="K57" s="169" t="s">
        <v>41</v>
      </c>
      <c r="L57" s="24">
        <f>+L54*0.04</f>
        <v>1040122</v>
      </c>
      <c r="O57" s="169" t="s">
        <v>41</v>
      </c>
      <c r="P57" s="24">
        <f>+P54*0.04</f>
        <v>1570122</v>
      </c>
      <c r="S57" s="169" t="s">
        <v>41</v>
      </c>
      <c r="T57" s="168">
        <f>+T54*0.04</f>
        <v>2010326</v>
      </c>
    </row>
    <row r="58" spans="1:22" ht="15" thickBot="1">
      <c r="B58" s="23"/>
      <c r="D58" s="166"/>
      <c r="F58" s="169" t="s">
        <v>187</v>
      </c>
      <c r="G58" s="159">
        <f>+G57*0.19</f>
        <v>0</v>
      </c>
      <c r="H58" s="184"/>
      <c r="I58" s="184"/>
      <c r="K58" s="169" t="s">
        <v>187</v>
      </c>
      <c r="L58" s="159">
        <f>+L57*0.19</f>
        <v>197623.18</v>
      </c>
      <c r="O58" s="169" t="s">
        <v>187</v>
      </c>
      <c r="P58" s="89">
        <f>+P57*0.19</f>
        <v>298323.18</v>
      </c>
      <c r="S58" s="169" t="s">
        <v>187</v>
      </c>
      <c r="T58" s="140">
        <f>+T57*0.19</f>
        <v>381961.94</v>
      </c>
    </row>
    <row r="59" spans="1:22" ht="15" thickBot="1">
      <c r="B59" s="23"/>
      <c r="D59" s="166"/>
      <c r="F59" s="169" t="s">
        <v>5</v>
      </c>
      <c r="G59" s="141"/>
      <c r="H59" s="184"/>
      <c r="I59" s="184"/>
      <c r="K59" s="169" t="s">
        <v>5</v>
      </c>
      <c r="L59" s="141">
        <f>SUM(L54:L58)</f>
        <v>31141252.68</v>
      </c>
      <c r="O59" s="169" t="s">
        <v>5</v>
      </c>
      <c r="P59" s="89">
        <f>SUM(P54:P58)</f>
        <v>47009452.68</v>
      </c>
      <c r="S59" s="169" t="s">
        <v>5</v>
      </c>
      <c r="T59" s="140">
        <f>SUM(T54:T58)</f>
        <v>60189160.439999998</v>
      </c>
      <c r="V59" s="24">
        <f>+T59-V60</f>
        <v>-1397539.5600000024</v>
      </c>
    </row>
    <row r="60" spans="1:22" ht="47.25" customHeight="1" thickBot="1">
      <c r="B60" s="23"/>
      <c r="D60" s="166"/>
      <c r="F60" s="90" t="s">
        <v>124</v>
      </c>
      <c r="G60" s="79">
        <f>+G59/E15</f>
        <v>0</v>
      </c>
      <c r="H60" s="184"/>
      <c r="I60" s="184"/>
      <c r="K60" s="90" t="s">
        <v>124</v>
      </c>
      <c r="L60" s="79">
        <f>+L59/J15</f>
        <v>622825.05359999998</v>
      </c>
      <c r="O60" s="91" t="s">
        <v>127</v>
      </c>
      <c r="P60" s="89">
        <f>+P59/N15</f>
        <v>940189.05359999998</v>
      </c>
      <c r="S60" s="138" t="s">
        <v>127</v>
      </c>
      <c r="T60" s="139">
        <f>+T59/R15</f>
        <v>1203783.2087999999</v>
      </c>
      <c r="V60">
        <v>61586700</v>
      </c>
    </row>
    <row r="61" spans="1:22">
      <c r="D61" s="166"/>
      <c r="G61" s="24"/>
      <c r="H61" s="184"/>
      <c r="I61" s="184"/>
      <c r="L61" s="24"/>
      <c r="T61" s="170"/>
    </row>
    <row r="62" spans="1:22" ht="48.75" customHeight="1">
      <c r="C62" t="s">
        <v>35</v>
      </c>
      <c r="D62" s="192" t="s">
        <v>118</v>
      </c>
      <c r="E62" s="193"/>
      <c r="F62" s="193"/>
      <c r="G62" s="193"/>
      <c r="H62" s="193"/>
      <c r="I62" s="193"/>
      <c r="J62" s="190"/>
      <c r="K62" s="190"/>
      <c r="L62" s="190"/>
      <c r="N62" s="190" t="s">
        <v>118</v>
      </c>
      <c r="O62" s="190"/>
      <c r="P62" s="190"/>
      <c r="R62" s="188" t="s">
        <v>118</v>
      </c>
      <c r="S62" s="188"/>
      <c r="T62" s="189"/>
    </row>
    <row r="63" spans="1:22" ht="78.75" customHeight="1">
      <c r="D63" s="192" t="s">
        <v>132</v>
      </c>
      <c r="E63" s="193"/>
      <c r="F63" s="193"/>
      <c r="G63" s="193"/>
      <c r="H63" s="193"/>
      <c r="I63" s="193"/>
      <c r="J63" s="190"/>
      <c r="K63" s="190"/>
      <c r="L63" s="190"/>
      <c r="N63" s="190" t="s">
        <v>136</v>
      </c>
      <c r="O63" s="190"/>
      <c r="P63" s="190"/>
      <c r="T63" s="170"/>
    </row>
    <row r="64" spans="1:22" ht="29.25" customHeight="1">
      <c r="D64" s="192" t="s">
        <v>147</v>
      </c>
      <c r="E64" s="193"/>
      <c r="F64" s="193"/>
      <c r="G64" s="193"/>
      <c r="H64" s="193"/>
      <c r="I64" s="193"/>
      <c r="J64" s="190"/>
      <c r="K64" s="190"/>
      <c r="L64" s="190"/>
      <c r="N64" s="190" t="s">
        <v>147</v>
      </c>
      <c r="O64" s="190"/>
      <c r="P64" s="190"/>
      <c r="R64" s="190" t="s">
        <v>185</v>
      </c>
      <c r="S64" s="190"/>
      <c r="T64" s="191"/>
    </row>
    <row r="65" spans="4:20">
      <c r="D65" s="166"/>
      <c r="E65" s="184"/>
      <c r="F65" s="184"/>
      <c r="G65" s="184"/>
      <c r="H65" s="184"/>
      <c r="I65" s="184"/>
      <c r="T65" s="170"/>
    </row>
    <row r="66" spans="4:20">
      <c r="D66" s="166"/>
      <c r="E66" s="184"/>
      <c r="F66" s="184"/>
      <c r="G66" s="184"/>
      <c r="H66" s="184"/>
      <c r="I66" s="184"/>
      <c r="J66" t="s">
        <v>182</v>
      </c>
      <c r="L66" s="171">
        <v>645300</v>
      </c>
      <c r="M66" s="88"/>
      <c r="N66" s="88"/>
      <c r="O66" s="88"/>
      <c r="P66" s="171">
        <v>823500</v>
      </c>
      <c r="Q66" s="88"/>
      <c r="R66" s="88"/>
      <c r="S66" s="88"/>
      <c r="T66" s="172">
        <v>1083300</v>
      </c>
    </row>
    <row r="67" spans="4:20">
      <c r="D67" s="166"/>
      <c r="E67" s="184"/>
      <c r="F67" s="184"/>
      <c r="G67" s="184"/>
      <c r="H67" s="184"/>
      <c r="I67" s="184"/>
      <c r="J67" t="s">
        <v>181</v>
      </c>
      <c r="K67" s="142" t="s">
        <v>178</v>
      </c>
      <c r="L67" s="143">
        <v>642600</v>
      </c>
      <c r="M67" s="144"/>
      <c r="N67" s="144"/>
      <c r="O67" s="142" t="s">
        <v>178</v>
      </c>
      <c r="P67" s="145">
        <v>1016260</v>
      </c>
      <c r="Q67" s="144"/>
      <c r="R67" s="144"/>
      <c r="S67" s="142" t="s">
        <v>178</v>
      </c>
      <c r="T67" s="173">
        <v>1251946.6399999999</v>
      </c>
    </row>
    <row r="68" spans="4:20">
      <c r="D68" s="166"/>
      <c r="E68" s="184"/>
      <c r="F68" s="184"/>
      <c r="G68" s="184"/>
      <c r="H68" s="184"/>
      <c r="I68" s="184"/>
      <c r="J68" t="s">
        <v>181</v>
      </c>
      <c r="K68" s="142" t="s">
        <v>179</v>
      </c>
      <c r="L68" s="143">
        <v>636480</v>
      </c>
      <c r="M68" s="144"/>
      <c r="N68" s="144"/>
      <c r="O68" s="142" t="s">
        <v>179</v>
      </c>
      <c r="P68" s="145">
        <v>903380</v>
      </c>
      <c r="Q68" s="144"/>
      <c r="R68" s="144"/>
      <c r="S68" s="142" t="s">
        <v>179</v>
      </c>
      <c r="T68" s="174">
        <v>1067647.6000000001</v>
      </c>
    </row>
    <row r="69" spans="4:20" ht="26.25" customHeight="1" thickBot="1">
      <c r="D69" s="175"/>
      <c r="E69" s="176"/>
      <c r="F69" s="176"/>
      <c r="G69" s="176"/>
      <c r="H69" s="176"/>
      <c r="I69" s="176"/>
      <c r="J69" s="176" t="s">
        <v>181</v>
      </c>
      <c r="K69" s="177" t="s">
        <v>180</v>
      </c>
      <c r="L69" s="178">
        <v>631890</v>
      </c>
      <c r="M69" s="179"/>
      <c r="N69" s="179"/>
      <c r="O69" s="177" t="s">
        <v>180</v>
      </c>
      <c r="P69" s="178">
        <v>818720</v>
      </c>
      <c r="Q69" s="179"/>
      <c r="R69" s="179"/>
      <c r="S69" s="177" t="s">
        <v>180</v>
      </c>
      <c r="T69" s="180">
        <v>929423.32</v>
      </c>
    </row>
  </sheetData>
  <protectedRanges>
    <protectedRange sqref="V40 X40" name="Rango2"/>
    <protectedRange password="CCEB" sqref="V40 X40" name="hoja1"/>
  </protectedRanges>
  <mergeCells count="9">
    <mergeCell ref="V40:Y40"/>
    <mergeCell ref="R62:T62"/>
    <mergeCell ref="R64:T64"/>
    <mergeCell ref="D62:L62"/>
    <mergeCell ref="D63:L63"/>
    <mergeCell ref="N62:P62"/>
    <mergeCell ref="N63:P63"/>
    <mergeCell ref="D64:L64"/>
    <mergeCell ref="N64:P64"/>
  </mergeCells>
  <hyperlinks>
    <hyperlink ref="V42" r:id="rId1"/>
    <hyperlink ref="V31" r:id="rId2"/>
    <hyperlink ref="V32" r:id="rId3"/>
    <hyperlink ref="V46" r:id="rId4"/>
    <hyperlink ref="Y34" r:id="rId5"/>
    <hyperlink ref="Z34" r:id="rId6"/>
    <hyperlink ref="V44" r:id="rId7"/>
    <hyperlink ref="V52" r:id="rId8" display="https://www.homecenter.com.co/homecenter-co/product/511825/riel-spot-3-luces-gu10-negro/511825/?kid=shopp_goosho_1430593&amp;shop=1&amp;gad_source=1&amp;gad_campaignid=20228062686&amp;gbraid=0AAAAADt6wnrGKkrRP8vI-IrN1wOGBOJZ4&amp;gclid=CjwKCAjw-dfOBhAjEiwAq0RwI-XMzeebtsL4e7iEEcLvCJnTVIAWXdM2k8iwyTAJ-bp25qe2KFrk_BoCt0EQAvD_BwE"/>
  </hyperlinks>
  <pageMargins left="0.7" right="0.7" top="0.75" bottom="0.75" header="0.3" footer="0.3"/>
  <pageSetup paperSize="5" orientation="portrait" horizontalDpi="4294967293" verticalDpi="0" r:id="rId9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>
      <selection activeCell="B19" sqref="B19"/>
    </sheetView>
  </sheetViews>
  <sheetFormatPr baseColWidth="10" defaultColWidth="9.1796875" defaultRowHeight="14.5"/>
  <cols>
    <col min="1" max="1" width="12.54296875" bestFit="1" customWidth="1"/>
    <col min="2" max="2" width="48" customWidth="1"/>
    <col min="3" max="3" width="7.26953125" bestFit="1" customWidth="1"/>
    <col min="4" max="4" width="8.81640625" bestFit="1" customWidth="1"/>
    <col min="5" max="5" width="20.26953125" bestFit="1" customWidth="1"/>
    <col min="6" max="6" width="16.453125" bestFit="1" customWidth="1"/>
    <col min="7" max="7" width="14.26953125" bestFit="1" customWidth="1"/>
    <col min="8" max="8" width="18.54296875" bestFit="1" customWidth="1"/>
    <col min="9" max="9" width="14.54296875" bestFit="1" customWidth="1"/>
    <col min="10" max="10" width="12.54296875" bestFit="1" customWidth="1"/>
  </cols>
  <sheetData>
    <row r="1" spans="1:10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</row>
    <row r="2" spans="1:10" ht="29">
      <c r="A2" t="s">
        <v>19</v>
      </c>
      <c r="B2" s="23" t="s">
        <v>20</v>
      </c>
      <c r="C2" t="s">
        <v>21</v>
      </c>
      <c r="D2">
        <v>50</v>
      </c>
      <c r="E2" s="1">
        <v>70000</v>
      </c>
      <c r="F2" s="1">
        <v>90000</v>
      </c>
      <c r="G2" s="1">
        <v>130000</v>
      </c>
      <c r="H2" s="1">
        <f t="shared" ref="H2:H8" si="0">D2*E2</f>
        <v>3500000</v>
      </c>
      <c r="I2" s="1">
        <f t="shared" ref="I2:I8" si="1">D2*F2</f>
        <v>4500000</v>
      </c>
      <c r="J2" s="1">
        <f t="shared" ref="J2:J8" si="2">D2*G2</f>
        <v>6500000</v>
      </c>
    </row>
    <row r="3" spans="1:10">
      <c r="A3" t="s">
        <v>22</v>
      </c>
      <c r="B3" t="s">
        <v>23</v>
      </c>
      <c r="C3" t="s">
        <v>21</v>
      </c>
      <c r="D3">
        <v>140</v>
      </c>
      <c r="E3" s="1">
        <v>25000</v>
      </c>
      <c r="F3" s="1">
        <v>35000</v>
      </c>
      <c r="G3" s="1">
        <v>50000</v>
      </c>
      <c r="H3" s="1">
        <f t="shared" si="0"/>
        <v>3500000</v>
      </c>
      <c r="I3" s="1">
        <f t="shared" si="1"/>
        <v>4900000</v>
      </c>
      <c r="J3" s="1">
        <f t="shared" si="2"/>
        <v>7000000</v>
      </c>
    </row>
    <row r="4" spans="1:10">
      <c r="A4" t="s">
        <v>24</v>
      </c>
      <c r="B4" t="s">
        <v>25</v>
      </c>
      <c r="C4" t="s">
        <v>26</v>
      </c>
      <c r="D4">
        <v>1</v>
      </c>
      <c r="E4" s="1">
        <v>4000000</v>
      </c>
      <c r="F4" s="1">
        <v>6000000</v>
      </c>
      <c r="G4" s="1">
        <v>9000000</v>
      </c>
      <c r="H4" s="1">
        <f t="shared" si="0"/>
        <v>4000000</v>
      </c>
      <c r="I4" s="1">
        <f t="shared" si="1"/>
        <v>6000000</v>
      </c>
      <c r="J4" s="1">
        <f t="shared" si="2"/>
        <v>9000000</v>
      </c>
    </row>
    <row r="5" spans="1:10">
      <c r="A5" t="s">
        <v>27</v>
      </c>
      <c r="B5" t="s">
        <v>28</v>
      </c>
      <c r="C5" t="s">
        <v>26</v>
      </c>
      <c r="D5">
        <v>1</v>
      </c>
      <c r="E5" s="1">
        <v>3500000</v>
      </c>
      <c r="F5" s="1">
        <v>6000000</v>
      </c>
      <c r="G5" s="1">
        <v>12000000</v>
      </c>
      <c r="H5" s="1">
        <f t="shared" si="0"/>
        <v>3500000</v>
      </c>
      <c r="I5" s="1">
        <f t="shared" si="1"/>
        <v>6000000</v>
      </c>
      <c r="J5" s="1">
        <f t="shared" si="2"/>
        <v>12000000</v>
      </c>
    </row>
    <row r="6" spans="1:10">
      <c r="A6" t="s">
        <v>29</v>
      </c>
      <c r="B6" t="s">
        <v>30</v>
      </c>
      <c r="C6" t="s">
        <v>26</v>
      </c>
      <c r="D6">
        <v>1</v>
      </c>
      <c r="E6" s="1">
        <v>3000000</v>
      </c>
      <c r="F6" s="1">
        <v>5000000</v>
      </c>
      <c r="G6" s="1">
        <v>9000000</v>
      </c>
      <c r="H6" s="1">
        <f t="shared" si="0"/>
        <v>3000000</v>
      </c>
      <c r="I6" s="1">
        <f t="shared" si="1"/>
        <v>5000000</v>
      </c>
      <c r="J6" s="1">
        <f t="shared" si="2"/>
        <v>9000000</v>
      </c>
    </row>
    <row r="7" spans="1:10">
      <c r="A7" t="s">
        <v>31</v>
      </c>
      <c r="B7" t="s">
        <v>32</v>
      </c>
      <c r="C7" t="s">
        <v>26</v>
      </c>
      <c r="D7">
        <v>1</v>
      </c>
      <c r="E7" s="1">
        <v>2500000</v>
      </c>
      <c r="F7" s="1">
        <v>4000000</v>
      </c>
      <c r="G7" s="1">
        <v>7000000</v>
      </c>
      <c r="H7" s="1">
        <f t="shared" si="0"/>
        <v>2500000</v>
      </c>
      <c r="I7" s="1">
        <f t="shared" si="1"/>
        <v>4000000</v>
      </c>
      <c r="J7" s="1">
        <f t="shared" si="2"/>
        <v>7000000</v>
      </c>
    </row>
    <row r="8" spans="1:10">
      <c r="A8" t="s">
        <v>33</v>
      </c>
      <c r="B8" t="s">
        <v>34</v>
      </c>
      <c r="C8" t="s">
        <v>26</v>
      </c>
      <c r="D8">
        <v>1</v>
      </c>
      <c r="E8" s="1">
        <v>800000</v>
      </c>
      <c r="F8" s="1">
        <v>1500000</v>
      </c>
      <c r="G8" s="1">
        <v>3000000</v>
      </c>
      <c r="H8" s="1">
        <f t="shared" si="0"/>
        <v>800000</v>
      </c>
      <c r="I8" s="1">
        <f t="shared" si="1"/>
        <v>1500000</v>
      </c>
      <c r="J8" s="1">
        <f t="shared" si="2"/>
        <v>3000000</v>
      </c>
    </row>
    <row r="9" spans="1:10">
      <c r="E9" s="1"/>
      <c r="F9" s="1"/>
      <c r="G9" s="1"/>
      <c r="H9" s="1">
        <f>SUM(H2:H8)</f>
        <v>20800000</v>
      </c>
      <c r="I9" s="1">
        <f>SUM(I2:I8)</f>
        <v>31900000</v>
      </c>
      <c r="J9" s="1">
        <f>SUM(J2:J8)</f>
        <v>53500000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I57"/>
  <sheetViews>
    <sheetView topLeftCell="A37" workbookViewId="0">
      <selection activeCell="H50" sqref="H50"/>
    </sheetView>
  </sheetViews>
  <sheetFormatPr baseColWidth="10" defaultColWidth="11.453125" defaultRowHeight="12.5"/>
  <cols>
    <col min="1" max="1" width="26.7265625" style="26" bestFit="1" customWidth="1"/>
    <col min="2" max="2" width="5.453125" style="26" bestFit="1" customWidth="1"/>
    <col min="3" max="3" width="8.7265625" style="26" bestFit="1" customWidth="1"/>
    <col min="4" max="4" width="19.1796875" style="26" customWidth="1"/>
    <col min="5" max="5" width="12.453125" style="26" customWidth="1"/>
    <col min="6" max="6" width="12.7265625" style="26" customWidth="1"/>
    <col min="7" max="7" width="13.54296875" style="26" customWidth="1"/>
    <col min="8" max="8" width="19.54296875" style="26" customWidth="1"/>
    <col min="9" max="9" width="16.1796875" style="26" bestFit="1" customWidth="1"/>
    <col min="10" max="16384" width="11.453125" style="26"/>
  </cols>
  <sheetData>
    <row r="1" spans="1:9" ht="23.5" thickBot="1">
      <c r="A1" s="197" t="s">
        <v>42</v>
      </c>
      <c r="B1" s="198"/>
      <c r="C1" s="198"/>
      <c r="D1" s="198"/>
      <c r="E1" s="198"/>
      <c r="F1" s="198"/>
      <c r="G1" s="198"/>
      <c r="H1" s="199"/>
    </row>
    <row r="2" spans="1:9" ht="13">
      <c r="A2" s="27"/>
      <c r="B2" s="28"/>
      <c r="C2" s="28"/>
      <c r="D2" s="29"/>
      <c r="E2" s="29"/>
      <c r="F2" s="30"/>
      <c r="G2" s="31"/>
      <c r="H2" s="32"/>
    </row>
    <row r="3" spans="1:9" ht="15.5">
      <c r="A3" s="33" t="s">
        <v>43</v>
      </c>
      <c r="B3" s="200"/>
      <c r="C3" s="200"/>
      <c r="D3" s="200"/>
      <c r="E3" s="200"/>
      <c r="F3" s="200"/>
      <c r="G3" s="200"/>
      <c r="H3" s="34"/>
    </row>
    <row r="4" spans="1:9" ht="13">
      <c r="A4" s="33"/>
      <c r="B4" s="35"/>
      <c r="C4" s="36"/>
      <c r="D4" s="35"/>
      <c r="E4" s="36"/>
      <c r="F4" s="37"/>
      <c r="G4" s="35"/>
      <c r="H4" s="34"/>
    </row>
    <row r="5" spans="1:9" ht="15.5">
      <c r="A5" s="33" t="s">
        <v>44</v>
      </c>
      <c r="B5" s="200" t="s">
        <v>45</v>
      </c>
      <c r="C5" s="200"/>
      <c r="D5" s="200"/>
      <c r="E5" s="200"/>
      <c r="F5" s="200"/>
      <c r="G5" s="200"/>
      <c r="H5" s="34"/>
    </row>
    <row r="6" spans="1:9" ht="13">
      <c r="A6" s="33"/>
      <c r="B6" s="35"/>
      <c r="C6" s="36"/>
      <c r="D6" s="35"/>
      <c r="E6" s="36"/>
      <c r="F6" s="37"/>
      <c r="G6" s="35"/>
      <c r="H6" s="34"/>
    </row>
    <row r="7" spans="1:9" ht="13">
      <c r="A7" s="33" t="s">
        <v>46</v>
      </c>
      <c r="B7" s="38">
        <v>1</v>
      </c>
      <c r="C7" s="39" t="s">
        <v>47</v>
      </c>
      <c r="D7" s="201" t="s">
        <v>48</v>
      </c>
      <c r="E7" s="201"/>
      <c r="F7" s="201"/>
      <c r="G7" s="201"/>
      <c r="H7" s="34"/>
    </row>
    <row r="8" spans="1:9" ht="13">
      <c r="A8" s="33"/>
      <c r="B8" s="35"/>
      <c r="C8" s="36"/>
      <c r="D8" s="35"/>
      <c r="E8" s="36"/>
      <c r="F8" s="37"/>
      <c r="G8" s="35"/>
      <c r="H8" s="34"/>
    </row>
    <row r="9" spans="1:9" ht="14">
      <c r="A9" s="33" t="s">
        <v>49</v>
      </c>
      <c r="B9" s="202"/>
      <c r="C9" s="202"/>
      <c r="D9" s="202"/>
      <c r="E9" s="202"/>
      <c r="F9" s="202"/>
      <c r="G9" s="202"/>
      <c r="H9" s="40"/>
    </row>
    <row r="10" spans="1:9" ht="13">
      <c r="A10" s="33"/>
      <c r="B10" s="35"/>
      <c r="C10" s="35"/>
      <c r="D10" s="35"/>
      <c r="E10" s="36"/>
      <c r="F10" s="37"/>
      <c r="G10" s="35"/>
      <c r="H10" s="41"/>
    </row>
    <row r="11" spans="1:9" ht="13">
      <c r="A11" s="33" t="s">
        <v>50</v>
      </c>
      <c r="B11" s="42" t="s">
        <v>51</v>
      </c>
      <c r="C11" s="203" t="s">
        <v>52</v>
      </c>
      <c r="D11" s="203"/>
      <c r="E11" s="203"/>
      <c r="F11" s="203"/>
      <c r="G11" s="203"/>
      <c r="H11" s="43" t="s">
        <v>53</v>
      </c>
    </row>
    <row r="12" spans="1:9" ht="48" customHeight="1">
      <c r="A12" s="33"/>
      <c r="B12" s="44" t="str">
        <f>+'[1]Oferta Economica (2)'!A16</f>
        <v>1.1</v>
      </c>
      <c r="C12" s="204" t="s">
        <v>54</v>
      </c>
      <c r="D12" s="205"/>
      <c r="E12" s="205"/>
      <c r="F12" s="205"/>
      <c r="G12" s="206"/>
      <c r="H12" s="45" t="str">
        <f>+'[1]Oferta Economica (2)'!F16</f>
        <v>m2</v>
      </c>
      <c r="I12" s="78">
        <v>50</v>
      </c>
    </row>
    <row r="13" spans="1:9" ht="13" thickBot="1">
      <c r="A13" s="46"/>
      <c r="B13" s="47"/>
      <c r="C13" s="47"/>
      <c r="D13" s="47"/>
      <c r="E13" s="48"/>
      <c r="F13" s="49"/>
      <c r="G13" s="47"/>
      <c r="H13" s="50"/>
    </row>
    <row r="14" spans="1:9" ht="13.5" thickBot="1">
      <c r="A14" s="207" t="s">
        <v>38</v>
      </c>
      <c r="B14" s="208"/>
      <c r="C14" s="208"/>
      <c r="D14" s="208"/>
      <c r="E14" s="51" t="s">
        <v>11</v>
      </c>
      <c r="F14" s="52" t="s">
        <v>12</v>
      </c>
      <c r="G14" s="51" t="s">
        <v>55</v>
      </c>
      <c r="H14" s="76" t="s">
        <v>56</v>
      </c>
      <c r="I14" s="77" t="s">
        <v>86</v>
      </c>
    </row>
    <row r="15" spans="1:9" ht="13">
      <c r="A15" s="209" t="s">
        <v>57</v>
      </c>
      <c r="B15" s="210"/>
      <c r="C15" s="210"/>
      <c r="D15" s="210"/>
      <c r="E15" s="53"/>
      <c r="F15" s="54"/>
      <c r="G15" s="55"/>
      <c r="H15" s="56"/>
    </row>
    <row r="16" spans="1:9">
      <c r="A16" s="211" t="s">
        <v>58</v>
      </c>
      <c r="B16" s="212"/>
      <c r="C16" s="212"/>
      <c r="D16" s="212"/>
      <c r="E16" s="57" t="s">
        <v>59</v>
      </c>
      <c r="F16" s="58">
        <v>2</v>
      </c>
      <c r="G16" s="59">
        <v>842.02500000000009</v>
      </c>
      <c r="H16" s="60">
        <f t="shared" ref="H16:H21" si="0">+G16*F16</f>
        <v>1684.0500000000002</v>
      </c>
      <c r="I16" s="61">
        <f>+I$12*H16</f>
        <v>84202.500000000015</v>
      </c>
    </row>
    <row r="17" spans="1:9">
      <c r="A17" s="211" t="s">
        <v>78</v>
      </c>
      <c r="B17" s="212"/>
      <c r="C17" s="212"/>
      <c r="D17" s="212"/>
      <c r="E17" s="57" t="s">
        <v>79</v>
      </c>
      <c r="F17" s="58">
        <v>0.03</v>
      </c>
      <c r="G17" s="59">
        <v>180000</v>
      </c>
      <c r="H17" s="60">
        <f t="shared" si="0"/>
        <v>5400</v>
      </c>
      <c r="I17" s="61">
        <f>+I$12*H17</f>
        <v>270000</v>
      </c>
    </row>
    <row r="18" spans="1:9">
      <c r="A18" s="194" t="s">
        <v>80</v>
      </c>
      <c r="B18" s="195"/>
      <c r="C18" s="195"/>
      <c r="D18" s="196"/>
      <c r="E18" s="57" t="s">
        <v>82</v>
      </c>
      <c r="F18" s="58">
        <v>2</v>
      </c>
      <c r="G18" s="59">
        <v>650</v>
      </c>
      <c r="H18" s="60">
        <f t="shared" si="0"/>
        <v>1300</v>
      </c>
      <c r="I18" s="61">
        <f t="shared" ref="I18:I21" si="1">+I$12*H18</f>
        <v>65000</v>
      </c>
    </row>
    <row r="19" spans="1:9">
      <c r="A19" s="194" t="s">
        <v>81</v>
      </c>
      <c r="B19" s="195"/>
      <c r="C19" s="195"/>
      <c r="D19" s="196"/>
      <c r="E19" s="57" t="s">
        <v>79</v>
      </c>
      <c r="F19" s="58">
        <v>0.02</v>
      </c>
      <c r="G19" s="59">
        <v>90000</v>
      </c>
      <c r="H19" s="60">
        <f t="shared" si="0"/>
        <v>1800</v>
      </c>
      <c r="I19" s="61">
        <f t="shared" si="1"/>
        <v>90000</v>
      </c>
    </row>
    <row r="20" spans="1:9">
      <c r="A20" s="194" t="s">
        <v>83</v>
      </c>
      <c r="B20" s="195"/>
      <c r="C20" s="195"/>
      <c r="D20" s="196"/>
      <c r="E20" s="57" t="s">
        <v>79</v>
      </c>
      <c r="F20" s="58">
        <v>0.02</v>
      </c>
      <c r="G20" s="59">
        <v>180000</v>
      </c>
      <c r="H20" s="60">
        <f t="shared" si="0"/>
        <v>3600</v>
      </c>
      <c r="I20" s="61">
        <f t="shared" si="1"/>
        <v>180000</v>
      </c>
    </row>
    <row r="21" spans="1:9">
      <c r="A21" s="194" t="s">
        <v>84</v>
      </c>
      <c r="B21" s="195"/>
      <c r="C21" s="195"/>
      <c r="D21" s="196"/>
      <c r="E21" s="57" t="s">
        <v>26</v>
      </c>
      <c r="F21" s="58">
        <v>1</v>
      </c>
      <c r="G21" s="59">
        <v>800</v>
      </c>
      <c r="H21" s="60">
        <f t="shared" si="0"/>
        <v>800</v>
      </c>
      <c r="I21" s="61">
        <f t="shared" si="1"/>
        <v>40000</v>
      </c>
    </row>
    <row r="22" spans="1:9">
      <c r="A22" s="194"/>
      <c r="B22" s="195"/>
      <c r="C22" s="195"/>
      <c r="D22" s="196"/>
      <c r="E22" s="57"/>
      <c r="F22" s="58"/>
      <c r="G22" s="59"/>
      <c r="H22" s="60"/>
      <c r="I22" s="61"/>
    </row>
    <row r="23" spans="1:9" ht="13">
      <c r="A23" s="194"/>
      <c r="B23" s="195"/>
      <c r="C23" s="195"/>
      <c r="D23" s="196"/>
      <c r="E23" s="57"/>
      <c r="F23" s="58"/>
      <c r="G23" s="59"/>
      <c r="H23" s="75">
        <f>+SUM(H16:H21)</f>
        <v>14584.05</v>
      </c>
      <c r="I23" s="75">
        <f>+SUM(I16:I21)</f>
        <v>729202.5</v>
      </c>
    </row>
    <row r="24" spans="1:9" ht="13">
      <c r="A24" s="209" t="s">
        <v>60</v>
      </c>
      <c r="B24" s="210"/>
      <c r="C24" s="210"/>
      <c r="D24" s="210"/>
      <c r="E24" s="65"/>
      <c r="F24" s="66"/>
      <c r="G24" s="55"/>
      <c r="H24" s="56"/>
    </row>
    <row r="25" spans="1:9">
      <c r="A25" s="211" t="s">
        <v>61</v>
      </c>
      <c r="B25" s="212"/>
      <c r="C25" s="212"/>
      <c r="D25" s="212"/>
      <c r="E25" s="57" t="s">
        <v>3</v>
      </c>
      <c r="F25" s="62">
        <v>1</v>
      </c>
      <c r="G25" s="59">
        <v>5000</v>
      </c>
      <c r="H25" s="60">
        <f>+G25*F25</f>
        <v>5000</v>
      </c>
      <c r="I25" s="61">
        <f>+G25*I12</f>
        <v>250000</v>
      </c>
    </row>
    <row r="26" spans="1:9" ht="13">
      <c r="A26" s="67"/>
      <c r="B26" s="47"/>
      <c r="C26" s="47"/>
      <c r="D26" s="47"/>
      <c r="E26" s="48"/>
      <c r="F26" s="63"/>
      <c r="G26" s="39"/>
      <c r="H26" s="75">
        <f>+SUM(H25:H25)</f>
        <v>5000</v>
      </c>
      <c r="I26" s="75">
        <f>+SUM(I25:I25)</f>
        <v>250000</v>
      </c>
    </row>
    <row r="27" spans="1:9" ht="13">
      <c r="A27" s="209" t="s">
        <v>62</v>
      </c>
      <c r="B27" s="210"/>
      <c r="C27" s="210"/>
      <c r="D27" s="210"/>
      <c r="E27" s="65"/>
      <c r="F27" s="66"/>
      <c r="G27" s="55"/>
      <c r="H27" s="56"/>
    </row>
    <row r="28" spans="1:9">
      <c r="A28" s="211"/>
      <c r="B28" s="212"/>
      <c r="C28" s="212"/>
      <c r="D28" s="212"/>
      <c r="E28" s="57"/>
      <c r="F28" s="62"/>
      <c r="G28" s="59"/>
      <c r="H28" s="60"/>
    </row>
    <row r="29" spans="1:9">
      <c r="A29" s="213"/>
      <c r="B29" s="214"/>
      <c r="C29" s="214"/>
      <c r="D29" s="214"/>
      <c r="E29" s="57"/>
      <c r="F29" s="62"/>
      <c r="G29" s="59"/>
      <c r="H29" s="60">
        <f>+G29*F29</f>
        <v>0</v>
      </c>
    </row>
    <row r="30" spans="1:9" ht="13">
      <c r="A30" s="67"/>
      <c r="B30" s="47"/>
      <c r="C30" s="47"/>
      <c r="D30" s="47"/>
      <c r="E30" s="48"/>
      <c r="F30" s="63"/>
      <c r="G30" s="39"/>
      <c r="H30" s="75">
        <f>+SUM(H28:H29)</f>
        <v>0</v>
      </c>
      <c r="I30" s="75">
        <f>+SUM(I29:I29)</f>
        <v>0</v>
      </c>
    </row>
    <row r="31" spans="1:9" ht="13">
      <c r="A31" s="209" t="s">
        <v>63</v>
      </c>
      <c r="B31" s="210"/>
      <c r="C31" s="210"/>
      <c r="D31" s="210"/>
      <c r="E31" s="65" t="s">
        <v>11</v>
      </c>
      <c r="F31" s="65" t="s">
        <v>64</v>
      </c>
      <c r="G31" s="65" t="s">
        <v>55</v>
      </c>
      <c r="H31" s="65" t="s">
        <v>56</v>
      </c>
    </row>
    <row r="32" spans="1:9">
      <c r="A32" s="211" t="s">
        <v>87</v>
      </c>
      <c r="B32" s="212"/>
      <c r="C32" s="212"/>
      <c r="D32" s="212"/>
      <c r="E32" s="57" t="s">
        <v>65</v>
      </c>
      <c r="F32" s="62">
        <v>8.8999999999999996E-2</v>
      </c>
      <c r="G32" s="59">
        <v>180000</v>
      </c>
      <c r="H32" s="60">
        <f>+G32*F32</f>
        <v>16020</v>
      </c>
      <c r="I32" s="61">
        <f t="shared" ref="I32:I33" si="2">+I$12*H32</f>
        <v>801000</v>
      </c>
    </row>
    <row r="33" spans="1:9">
      <c r="A33" s="211" t="s">
        <v>85</v>
      </c>
      <c r="B33" s="212"/>
      <c r="C33" s="212"/>
      <c r="D33" s="212"/>
      <c r="E33" s="57" t="s">
        <v>65</v>
      </c>
      <c r="F33" s="62">
        <v>0.08</v>
      </c>
      <c r="G33" s="59">
        <v>180000</v>
      </c>
      <c r="H33" s="60">
        <f>+G33*F33</f>
        <v>14400</v>
      </c>
      <c r="I33" s="61">
        <f t="shared" si="2"/>
        <v>720000</v>
      </c>
    </row>
    <row r="34" spans="1:9">
      <c r="A34" s="211"/>
      <c r="B34" s="212"/>
      <c r="C34" s="212"/>
      <c r="D34" s="212"/>
      <c r="E34" s="57"/>
      <c r="F34" s="62"/>
      <c r="G34" s="59"/>
      <c r="H34" s="60">
        <f>+G34*F34</f>
        <v>0</v>
      </c>
      <c r="I34" s="61">
        <f>+H34*I12</f>
        <v>0</v>
      </c>
    </row>
    <row r="35" spans="1:9">
      <c r="A35" s="213"/>
      <c r="B35" s="214"/>
      <c r="C35" s="214"/>
      <c r="D35" s="214"/>
      <c r="E35" s="57"/>
      <c r="F35" s="62"/>
      <c r="G35" s="59"/>
      <c r="H35" s="60">
        <f t="shared" ref="H35" si="3">+G35*F35</f>
        <v>0</v>
      </c>
    </row>
    <row r="36" spans="1:9" ht="13">
      <c r="A36" s="67"/>
      <c r="B36" s="47"/>
      <c r="C36" s="47"/>
      <c r="D36" s="47"/>
      <c r="E36" s="48"/>
      <c r="F36" s="49"/>
      <c r="G36" s="39" t="s">
        <v>66</v>
      </c>
      <c r="H36" s="75">
        <f>+SUM(H32:H35)</f>
        <v>30420</v>
      </c>
      <c r="I36" s="75">
        <f>+SUM(I32:I35)</f>
        <v>1521000</v>
      </c>
    </row>
    <row r="37" spans="1:9" ht="13">
      <c r="A37" s="209" t="s">
        <v>67</v>
      </c>
      <c r="B37" s="210"/>
      <c r="C37" s="210"/>
      <c r="D37" s="210"/>
      <c r="E37" s="65"/>
      <c r="F37" s="66"/>
      <c r="G37" s="55"/>
      <c r="H37" s="56"/>
    </row>
    <row r="38" spans="1:9">
      <c r="A38" s="213"/>
      <c r="B38" s="214"/>
      <c r="C38" s="214"/>
      <c r="D38" s="214"/>
      <c r="E38" s="57"/>
      <c r="F38" s="62"/>
      <c r="G38" s="59"/>
      <c r="H38" s="60">
        <f>+G38*F38</f>
        <v>0</v>
      </c>
    </row>
    <row r="39" spans="1:9">
      <c r="A39" s="213"/>
      <c r="B39" s="214"/>
      <c r="C39" s="214"/>
      <c r="D39" s="214"/>
      <c r="E39" s="57"/>
      <c r="F39" s="62"/>
      <c r="G39" s="59"/>
      <c r="H39" s="60">
        <f>+G39*F39</f>
        <v>0</v>
      </c>
    </row>
    <row r="40" spans="1:9">
      <c r="A40" s="213"/>
      <c r="B40" s="214"/>
      <c r="C40" s="214"/>
      <c r="D40" s="214"/>
      <c r="E40" s="57"/>
      <c r="F40" s="62"/>
      <c r="G40" s="59"/>
      <c r="H40" s="60">
        <f>+G40*F40</f>
        <v>0</v>
      </c>
    </row>
    <row r="41" spans="1:9" ht="13">
      <c r="A41" s="67"/>
      <c r="B41" s="47"/>
      <c r="C41" s="47"/>
      <c r="D41" s="47"/>
      <c r="E41" s="48"/>
      <c r="F41" s="63"/>
      <c r="G41" s="39" t="s">
        <v>68</v>
      </c>
      <c r="H41" s="75">
        <f>+SUM(H38:H40)</f>
        <v>0</v>
      </c>
      <c r="I41" s="75">
        <f>+SUM(I38:I40)</f>
        <v>0</v>
      </c>
    </row>
    <row r="42" spans="1:9" ht="13">
      <c r="A42" s="209" t="s">
        <v>69</v>
      </c>
      <c r="B42" s="210"/>
      <c r="C42" s="210"/>
      <c r="D42" s="210"/>
      <c r="E42" s="65"/>
      <c r="F42" s="66"/>
      <c r="G42" s="55"/>
      <c r="H42" s="56"/>
    </row>
    <row r="43" spans="1:9">
      <c r="A43" s="213"/>
      <c r="B43" s="214"/>
      <c r="C43" s="214"/>
      <c r="D43" s="214"/>
      <c r="E43" s="57"/>
      <c r="F43" s="62"/>
      <c r="G43" s="59"/>
      <c r="H43" s="60">
        <f t="shared" ref="H43:H48" si="4">+G43*F43</f>
        <v>0</v>
      </c>
    </row>
    <row r="44" spans="1:9">
      <c r="A44" s="213"/>
      <c r="B44" s="214"/>
      <c r="C44" s="214"/>
      <c r="D44" s="214"/>
      <c r="E44" s="57"/>
      <c r="F44" s="62"/>
      <c r="G44" s="59"/>
      <c r="H44" s="60">
        <f t="shared" si="4"/>
        <v>0</v>
      </c>
    </row>
    <row r="45" spans="1:9">
      <c r="A45" s="213"/>
      <c r="B45" s="214"/>
      <c r="C45" s="214"/>
      <c r="D45" s="214"/>
      <c r="E45" s="57"/>
      <c r="F45" s="62"/>
      <c r="G45" s="59"/>
      <c r="H45" s="60">
        <f t="shared" si="4"/>
        <v>0</v>
      </c>
    </row>
    <row r="46" spans="1:9">
      <c r="A46" s="213"/>
      <c r="B46" s="214"/>
      <c r="C46" s="214"/>
      <c r="D46" s="214"/>
      <c r="E46" s="57"/>
      <c r="F46" s="62"/>
      <c r="G46" s="59"/>
      <c r="H46" s="60">
        <f t="shared" si="4"/>
        <v>0</v>
      </c>
    </row>
    <row r="47" spans="1:9">
      <c r="A47" s="213"/>
      <c r="B47" s="214"/>
      <c r="C47" s="214"/>
      <c r="D47" s="214"/>
      <c r="E47" s="57"/>
      <c r="F47" s="62"/>
      <c r="G47" s="59"/>
      <c r="H47" s="60">
        <f t="shared" si="4"/>
        <v>0</v>
      </c>
    </row>
    <row r="48" spans="1:9">
      <c r="A48" s="213"/>
      <c r="B48" s="214"/>
      <c r="C48" s="214"/>
      <c r="D48" s="214"/>
      <c r="E48" s="57"/>
      <c r="F48" s="62"/>
      <c r="G48" s="59"/>
      <c r="H48" s="60">
        <f t="shared" si="4"/>
        <v>0</v>
      </c>
    </row>
    <row r="49" spans="1:9" ht="13.5" thickBot="1">
      <c r="A49" s="67"/>
      <c r="B49" s="47"/>
      <c r="C49" s="47"/>
      <c r="D49" s="47"/>
      <c r="E49" s="48"/>
      <c r="F49" s="49"/>
      <c r="G49" s="39" t="s">
        <v>70</v>
      </c>
      <c r="H49" s="75">
        <f>+SUM(H43:H48)</f>
        <v>0</v>
      </c>
      <c r="I49" s="75">
        <f>+SUM(I43:I48)</f>
        <v>0</v>
      </c>
    </row>
    <row r="50" spans="1:9" ht="18.5" thickBot="1">
      <c r="A50" s="215" t="s">
        <v>71</v>
      </c>
      <c r="B50" s="216"/>
      <c r="C50" s="216"/>
      <c r="D50" s="216"/>
      <c r="E50" s="216"/>
      <c r="F50" s="216"/>
      <c r="G50" s="217"/>
      <c r="H50" s="68">
        <f>+H23+H41+H26+H30+H49+H36</f>
        <v>50004.05</v>
      </c>
      <c r="I50" s="75">
        <f>+I36+I30+I26+I23+I41+I49</f>
        <v>2500202.5</v>
      </c>
    </row>
    <row r="51" spans="1:9" ht="18">
      <c r="A51" s="69"/>
      <c r="B51" s="69"/>
      <c r="C51" s="69"/>
      <c r="D51" s="69"/>
      <c r="E51" s="69"/>
      <c r="F51" s="69"/>
      <c r="G51" s="69" t="s">
        <v>72</v>
      </c>
      <c r="H51" s="70">
        <f>+H50*0.12</f>
        <v>6000.4859999999999</v>
      </c>
    </row>
    <row r="52" spans="1:9" ht="18">
      <c r="A52" s="69"/>
      <c r="B52" s="69"/>
      <c r="C52" s="69"/>
      <c r="D52" s="69"/>
      <c r="E52" s="69"/>
      <c r="F52" s="69"/>
      <c r="G52" s="69" t="s">
        <v>73</v>
      </c>
      <c r="H52" s="70">
        <f>+H50*0.03</f>
        <v>1500.1215</v>
      </c>
    </row>
    <row r="53" spans="1:9" ht="18">
      <c r="A53" s="69"/>
      <c r="B53" s="69"/>
      <c r="C53" s="69"/>
      <c r="D53" s="69"/>
      <c r="E53" s="69"/>
      <c r="F53" s="69"/>
      <c r="G53" s="69" t="s">
        <v>74</v>
      </c>
      <c r="H53" s="70">
        <f>+H50*0.04</f>
        <v>2000.1620000000003</v>
      </c>
    </row>
    <row r="54" spans="1:9" ht="13" thickBot="1">
      <c r="G54" s="26" t="s">
        <v>75</v>
      </c>
      <c r="H54" s="26">
        <f>+H53*0.19</f>
        <v>380.03078000000005</v>
      </c>
    </row>
    <row r="55" spans="1:9" ht="18.5" thickBot="1">
      <c r="A55" s="215" t="s">
        <v>76</v>
      </c>
      <c r="B55" s="216"/>
      <c r="C55" s="216"/>
      <c r="D55" s="216"/>
      <c r="E55" s="216"/>
      <c r="F55" s="216"/>
      <c r="G55" s="217"/>
      <c r="H55" s="71">
        <f>+H51+H52+H53+H54</f>
        <v>9880.8002799999995</v>
      </c>
    </row>
    <row r="56" spans="1:9" ht="13" thickBot="1"/>
    <row r="57" spans="1:9" ht="18.5" thickBot="1">
      <c r="A57" s="215" t="s">
        <v>77</v>
      </c>
      <c r="B57" s="216"/>
      <c r="C57" s="216"/>
      <c r="D57" s="216"/>
      <c r="E57" s="216"/>
      <c r="F57" s="216"/>
      <c r="G57" s="217"/>
      <c r="H57" s="70">
        <f>+H55+H50</f>
        <v>59884.850279999999</v>
      </c>
    </row>
  </sheetData>
  <mergeCells count="41">
    <mergeCell ref="A57:G57"/>
    <mergeCell ref="A25:D25"/>
    <mergeCell ref="A47:D47"/>
    <mergeCell ref="A48:D48"/>
    <mergeCell ref="A50:G50"/>
    <mergeCell ref="A55:G55"/>
    <mergeCell ref="A27:D27"/>
    <mergeCell ref="A28:D28"/>
    <mergeCell ref="A29:D29"/>
    <mergeCell ref="A31:D31"/>
    <mergeCell ref="A32:D32"/>
    <mergeCell ref="A45:D45"/>
    <mergeCell ref="A46:D46"/>
    <mergeCell ref="A33:D33"/>
    <mergeCell ref="A34:D34"/>
    <mergeCell ref="A35:D35"/>
    <mergeCell ref="A43:D43"/>
    <mergeCell ref="A44:D44"/>
    <mergeCell ref="A19:D19"/>
    <mergeCell ref="A20:D20"/>
    <mergeCell ref="A21:D21"/>
    <mergeCell ref="A23:D23"/>
    <mergeCell ref="A24:D24"/>
    <mergeCell ref="A22:D22"/>
    <mergeCell ref="A37:D37"/>
    <mergeCell ref="A38:D38"/>
    <mergeCell ref="A39:D39"/>
    <mergeCell ref="A40:D40"/>
    <mergeCell ref="A42:D42"/>
    <mergeCell ref="A18:D18"/>
    <mergeCell ref="A1:H1"/>
    <mergeCell ref="B3:G3"/>
    <mergeCell ref="B5:G5"/>
    <mergeCell ref="D7:G7"/>
    <mergeCell ref="B9:G9"/>
    <mergeCell ref="C11:G11"/>
    <mergeCell ref="C12:G12"/>
    <mergeCell ref="A14:D14"/>
    <mergeCell ref="A15:D15"/>
    <mergeCell ref="A16:D16"/>
    <mergeCell ref="A17:D17"/>
  </mergeCells>
  <pageMargins left="0.70866141732283472" right="0.70866141732283472" top="0.74803149606299213" bottom="0.74803149606299213" header="0.31496062992125984" footer="0.31496062992125984"/>
  <pageSetup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C000"/>
  </sheetPr>
  <dimension ref="A1:I57"/>
  <sheetViews>
    <sheetView topLeftCell="A22" workbookViewId="0">
      <selection activeCell="J54" sqref="J54"/>
    </sheetView>
  </sheetViews>
  <sheetFormatPr baseColWidth="10" defaultColWidth="11.453125" defaultRowHeight="12.5"/>
  <cols>
    <col min="1" max="1" width="26.7265625" style="26" bestFit="1" customWidth="1"/>
    <col min="2" max="2" width="5.453125" style="26" bestFit="1" customWidth="1"/>
    <col min="3" max="3" width="8.7265625" style="26" bestFit="1" customWidth="1"/>
    <col min="4" max="4" width="19.1796875" style="26" customWidth="1"/>
    <col min="5" max="5" width="12.453125" style="26" customWidth="1"/>
    <col min="6" max="6" width="12.7265625" style="26" customWidth="1"/>
    <col min="7" max="7" width="13.54296875" style="26" customWidth="1"/>
    <col min="8" max="8" width="19.54296875" style="26" customWidth="1"/>
    <col min="9" max="9" width="16.1796875" style="26" bestFit="1" customWidth="1"/>
    <col min="10" max="16384" width="11.453125" style="26"/>
  </cols>
  <sheetData>
    <row r="1" spans="1:9" ht="23.5" thickBot="1">
      <c r="A1" s="197" t="s">
        <v>42</v>
      </c>
      <c r="B1" s="198"/>
      <c r="C1" s="198"/>
      <c r="D1" s="198"/>
      <c r="E1" s="198"/>
      <c r="F1" s="198"/>
      <c r="G1" s="198"/>
      <c r="H1" s="199"/>
    </row>
    <row r="2" spans="1:9" ht="13">
      <c r="A2" s="27"/>
      <c r="B2" s="28"/>
      <c r="C2" s="28"/>
      <c r="D2" s="29"/>
      <c r="E2" s="29"/>
      <c r="F2" s="30"/>
      <c r="G2" s="31"/>
      <c r="H2" s="32"/>
    </row>
    <row r="3" spans="1:9" ht="15.5">
      <c r="A3" s="33" t="s">
        <v>43</v>
      </c>
      <c r="B3" s="200"/>
      <c r="C3" s="200"/>
      <c r="D3" s="200"/>
      <c r="E3" s="200"/>
      <c r="F3" s="200"/>
      <c r="G3" s="200"/>
      <c r="H3" s="34"/>
    </row>
    <row r="4" spans="1:9" ht="13">
      <c r="A4" s="33"/>
      <c r="B4" s="35"/>
      <c r="C4" s="36"/>
      <c r="D4" s="35"/>
      <c r="E4" s="36"/>
      <c r="F4" s="37"/>
      <c r="G4" s="35"/>
      <c r="H4" s="34"/>
    </row>
    <row r="5" spans="1:9" ht="15.5">
      <c r="A5" s="33" t="s">
        <v>44</v>
      </c>
      <c r="B5" s="200" t="s">
        <v>45</v>
      </c>
      <c r="C5" s="200"/>
      <c r="D5" s="200"/>
      <c r="E5" s="200"/>
      <c r="F5" s="200"/>
      <c r="G5" s="200"/>
      <c r="H5" s="34"/>
    </row>
    <row r="6" spans="1:9" ht="13">
      <c r="A6" s="33"/>
      <c r="B6" s="35"/>
      <c r="C6" s="36"/>
      <c r="D6" s="35"/>
      <c r="E6" s="36"/>
      <c r="F6" s="37"/>
      <c r="G6" s="35"/>
      <c r="H6" s="34"/>
    </row>
    <row r="7" spans="1:9" ht="13">
      <c r="A7" s="33" t="s">
        <v>46</v>
      </c>
      <c r="B7" s="38">
        <v>1</v>
      </c>
      <c r="C7" s="39" t="s">
        <v>47</v>
      </c>
      <c r="D7" s="201" t="s">
        <v>48</v>
      </c>
      <c r="E7" s="201"/>
      <c r="F7" s="201"/>
      <c r="G7" s="201"/>
      <c r="H7" s="34"/>
    </row>
    <row r="8" spans="1:9" ht="13">
      <c r="A8" s="33"/>
      <c r="B8" s="35"/>
      <c r="C8" s="36"/>
      <c r="D8" s="35"/>
      <c r="E8" s="36"/>
      <c r="F8" s="37"/>
      <c r="G8" s="35"/>
      <c r="H8" s="34"/>
    </row>
    <row r="9" spans="1:9" ht="14">
      <c r="A9" s="33" t="s">
        <v>49</v>
      </c>
      <c r="B9" s="202"/>
      <c r="C9" s="202"/>
      <c r="D9" s="202"/>
      <c r="E9" s="202"/>
      <c r="F9" s="202"/>
      <c r="G9" s="202"/>
      <c r="H9" s="40"/>
    </row>
    <row r="10" spans="1:9" ht="13">
      <c r="A10" s="33"/>
      <c r="B10" s="35"/>
      <c r="C10" s="35"/>
      <c r="D10" s="35"/>
      <c r="E10" s="36"/>
      <c r="F10" s="37"/>
      <c r="G10" s="35"/>
      <c r="H10" s="41"/>
    </row>
    <row r="11" spans="1:9" ht="13">
      <c r="A11" s="33" t="s">
        <v>50</v>
      </c>
      <c r="B11" s="42" t="s">
        <v>51</v>
      </c>
      <c r="C11" s="203" t="s">
        <v>52</v>
      </c>
      <c r="D11" s="203"/>
      <c r="E11" s="203"/>
      <c r="F11" s="203"/>
      <c r="G11" s="203"/>
      <c r="H11" s="43" t="s">
        <v>53</v>
      </c>
    </row>
    <row r="12" spans="1:9" ht="48" customHeight="1">
      <c r="A12" s="33"/>
      <c r="B12" s="44" t="str">
        <f>+'[1]Oferta Economica (2)'!A16</f>
        <v>1.1</v>
      </c>
      <c r="C12" s="204" t="s">
        <v>88</v>
      </c>
      <c r="D12" s="205"/>
      <c r="E12" s="205"/>
      <c r="F12" s="205"/>
      <c r="G12" s="206"/>
      <c r="H12" s="45" t="str">
        <f>+'[1]Oferta Economica (2)'!F16</f>
        <v>m2</v>
      </c>
      <c r="I12" s="78">
        <v>50</v>
      </c>
    </row>
    <row r="13" spans="1:9" ht="13" thickBot="1">
      <c r="A13" s="46"/>
      <c r="B13" s="47"/>
      <c r="C13" s="47"/>
      <c r="D13" s="47"/>
      <c r="E13" s="48"/>
      <c r="F13" s="49"/>
      <c r="G13" s="47"/>
      <c r="H13" s="50"/>
    </row>
    <row r="14" spans="1:9" ht="13.5" thickBot="1">
      <c r="A14" s="207" t="s">
        <v>38</v>
      </c>
      <c r="B14" s="208"/>
      <c r="C14" s="208"/>
      <c r="D14" s="208"/>
      <c r="E14" s="51" t="s">
        <v>11</v>
      </c>
      <c r="F14" s="52" t="s">
        <v>12</v>
      </c>
      <c r="G14" s="51" t="s">
        <v>55</v>
      </c>
      <c r="H14" s="76" t="s">
        <v>56</v>
      </c>
      <c r="I14" s="77" t="s">
        <v>86</v>
      </c>
    </row>
    <row r="15" spans="1:9" ht="13">
      <c r="A15" s="209" t="s">
        <v>57</v>
      </c>
      <c r="B15" s="210"/>
      <c r="C15" s="210"/>
      <c r="D15" s="210"/>
      <c r="E15" s="53"/>
      <c r="F15" s="54"/>
      <c r="G15" s="55"/>
      <c r="H15" s="56"/>
    </row>
    <row r="16" spans="1:9">
      <c r="A16" s="211" t="s">
        <v>203</v>
      </c>
      <c r="B16" s="212"/>
      <c r="C16" s="212"/>
      <c r="D16" s="212"/>
      <c r="E16" s="57" t="s">
        <v>21</v>
      </c>
      <c r="F16" s="58">
        <v>1.05</v>
      </c>
      <c r="G16" s="59">
        <v>45000</v>
      </c>
      <c r="H16" s="60">
        <f t="shared" ref="H16:H21" si="0">+G16*F16</f>
        <v>47250</v>
      </c>
      <c r="I16" s="61">
        <f>+I$12*H16</f>
        <v>2362500</v>
      </c>
    </row>
    <row r="17" spans="1:9">
      <c r="A17" s="211" t="s">
        <v>204</v>
      </c>
      <c r="B17" s="212"/>
      <c r="C17" s="212"/>
      <c r="D17" s="212"/>
      <c r="E17" s="57" t="s">
        <v>82</v>
      </c>
      <c r="F17" s="58">
        <v>4.5</v>
      </c>
      <c r="G17" s="59">
        <v>1600</v>
      </c>
      <c r="H17" s="60">
        <f t="shared" si="0"/>
        <v>7200</v>
      </c>
      <c r="I17" s="61">
        <f>+I$12*H17</f>
        <v>360000</v>
      </c>
    </row>
    <row r="18" spans="1:9">
      <c r="A18" s="194" t="s">
        <v>205</v>
      </c>
      <c r="B18" s="195"/>
      <c r="C18" s="195"/>
      <c r="D18" s="196"/>
      <c r="E18" s="57" t="s">
        <v>82</v>
      </c>
      <c r="F18" s="58">
        <v>0.3</v>
      </c>
      <c r="G18" s="59">
        <v>9000</v>
      </c>
      <c r="H18" s="60">
        <f t="shared" si="0"/>
        <v>2700</v>
      </c>
      <c r="I18" s="61">
        <f t="shared" ref="I18:I21" si="1">+I$12*H18</f>
        <v>135000</v>
      </c>
    </row>
    <row r="19" spans="1:9">
      <c r="A19" s="194" t="s">
        <v>206</v>
      </c>
      <c r="B19" s="195"/>
      <c r="C19" s="195"/>
      <c r="D19" s="196"/>
      <c r="E19" s="57" t="s">
        <v>207</v>
      </c>
      <c r="F19" s="58">
        <v>0.05</v>
      </c>
      <c r="G19" s="59">
        <v>8000</v>
      </c>
      <c r="H19" s="60">
        <f t="shared" si="0"/>
        <v>400</v>
      </c>
      <c r="I19" s="61">
        <f t="shared" si="1"/>
        <v>20000</v>
      </c>
    </row>
    <row r="20" spans="1:9">
      <c r="A20" s="194" t="s">
        <v>208</v>
      </c>
      <c r="B20" s="195"/>
      <c r="C20" s="195"/>
      <c r="D20" s="196"/>
      <c r="E20" s="57" t="s">
        <v>209</v>
      </c>
      <c r="F20" s="58">
        <v>1</v>
      </c>
      <c r="G20" s="59">
        <v>1500</v>
      </c>
      <c r="H20" s="60">
        <f t="shared" si="0"/>
        <v>1500</v>
      </c>
      <c r="I20" s="61">
        <f t="shared" si="1"/>
        <v>75000</v>
      </c>
    </row>
    <row r="21" spans="1:9">
      <c r="A21" s="194"/>
      <c r="B21" s="195"/>
      <c r="C21" s="195"/>
      <c r="D21" s="196"/>
      <c r="E21" s="57"/>
      <c r="F21" s="58"/>
      <c r="G21" s="59"/>
      <c r="H21" s="60">
        <f t="shared" si="0"/>
        <v>0</v>
      </c>
      <c r="I21" s="61">
        <f t="shared" si="1"/>
        <v>0</v>
      </c>
    </row>
    <row r="22" spans="1:9">
      <c r="A22" s="194"/>
      <c r="B22" s="195"/>
      <c r="C22" s="195"/>
      <c r="D22" s="196"/>
      <c r="E22" s="57"/>
      <c r="F22" s="58"/>
      <c r="G22" s="59"/>
      <c r="H22" s="60"/>
      <c r="I22" s="61"/>
    </row>
    <row r="23" spans="1:9" ht="13">
      <c r="A23" s="194"/>
      <c r="B23" s="195"/>
      <c r="C23" s="195"/>
      <c r="D23" s="196"/>
      <c r="E23" s="57"/>
      <c r="F23" s="58"/>
      <c r="G23" s="59"/>
      <c r="H23" s="75">
        <f>+SUM(H16:H21)</f>
        <v>59050</v>
      </c>
      <c r="I23" s="75">
        <f>+SUM(I16:I21)</f>
        <v>2952500</v>
      </c>
    </row>
    <row r="24" spans="1:9" ht="13">
      <c r="A24" s="209" t="s">
        <v>60</v>
      </c>
      <c r="B24" s="210"/>
      <c r="C24" s="210"/>
      <c r="D24" s="210"/>
      <c r="E24" s="65"/>
      <c r="F24" s="66"/>
      <c r="G24" s="55"/>
      <c r="H24" s="56"/>
    </row>
    <row r="25" spans="1:9">
      <c r="A25" s="211" t="s">
        <v>61</v>
      </c>
      <c r="B25" s="212"/>
      <c r="C25" s="212"/>
      <c r="D25" s="212"/>
      <c r="E25" s="57" t="s">
        <v>3</v>
      </c>
      <c r="F25" s="62">
        <v>1</v>
      </c>
      <c r="G25" s="59">
        <v>5000</v>
      </c>
      <c r="H25" s="60">
        <f>+G25*F25</f>
        <v>5000</v>
      </c>
      <c r="I25" s="61">
        <f>+G25*I12</f>
        <v>250000</v>
      </c>
    </row>
    <row r="26" spans="1:9" ht="13">
      <c r="A26" s="67"/>
      <c r="B26" s="47"/>
      <c r="C26" s="47"/>
      <c r="D26" s="47"/>
      <c r="E26" s="48"/>
      <c r="F26" s="63"/>
      <c r="G26" s="39"/>
      <c r="H26" s="75">
        <f>+SUM(H25:H25)</f>
        <v>5000</v>
      </c>
      <c r="I26" s="75">
        <f>+SUM(I25:I25)</f>
        <v>250000</v>
      </c>
    </row>
    <row r="27" spans="1:9" ht="13">
      <c r="A27" s="209" t="s">
        <v>62</v>
      </c>
      <c r="B27" s="210"/>
      <c r="C27" s="210"/>
      <c r="D27" s="210"/>
      <c r="E27" s="65"/>
      <c r="F27" s="66"/>
      <c r="G27" s="55"/>
      <c r="H27" s="56"/>
    </row>
    <row r="28" spans="1:9">
      <c r="A28" s="211"/>
      <c r="B28" s="212"/>
      <c r="C28" s="212"/>
      <c r="D28" s="212"/>
      <c r="E28" s="57"/>
      <c r="F28" s="62"/>
      <c r="G28" s="59"/>
      <c r="H28" s="60"/>
    </row>
    <row r="29" spans="1:9">
      <c r="A29" s="213"/>
      <c r="B29" s="214"/>
      <c r="C29" s="214"/>
      <c r="D29" s="214"/>
      <c r="E29" s="57"/>
      <c r="F29" s="62"/>
      <c r="G29" s="59"/>
      <c r="H29" s="60">
        <f>+G29*F29</f>
        <v>0</v>
      </c>
    </row>
    <row r="30" spans="1:9" ht="13">
      <c r="A30" s="67"/>
      <c r="B30" s="47"/>
      <c r="C30" s="47"/>
      <c r="D30" s="47"/>
      <c r="E30" s="48"/>
      <c r="F30" s="63"/>
      <c r="G30" s="39"/>
      <c r="H30" s="75">
        <f>+SUM(H28:H29)</f>
        <v>0</v>
      </c>
      <c r="I30" s="75">
        <f>+SUM(I29:I29)</f>
        <v>0</v>
      </c>
    </row>
    <row r="31" spans="1:9" ht="13">
      <c r="A31" s="209" t="s">
        <v>63</v>
      </c>
      <c r="B31" s="210"/>
      <c r="C31" s="210"/>
      <c r="D31" s="210"/>
      <c r="E31" s="65" t="s">
        <v>11</v>
      </c>
      <c r="F31" s="65" t="s">
        <v>64</v>
      </c>
      <c r="G31" s="65" t="s">
        <v>55</v>
      </c>
      <c r="H31" s="65" t="s">
        <v>56</v>
      </c>
    </row>
    <row r="32" spans="1:9">
      <c r="A32" s="211" t="s">
        <v>87</v>
      </c>
      <c r="B32" s="212"/>
      <c r="C32" s="212"/>
      <c r="D32" s="212"/>
      <c r="E32" s="57" t="s">
        <v>65</v>
      </c>
      <c r="F32" s="62">
        <v>8.8999999999999996E-2</v>
      </c>
      <c r="G32" s="59">
        <v>180000</v>
      </c>
      <c r="H32" s="60">
        <f>+G32*F32</f>
        <v>16020</v>
      </c>
      <c r="I32" s="61">
        <f t="shared" ref="I32:I33" si="2">+I$12*H32</f>
        <v>801000</v>
      </c>
    </row>
    <row r="33" spans="1:9">
      <c r="A33" s="211" t="s">
        <v>85</v>
      </c>
      <c r="B33" s="212"/>
      <c r="C33" s="212"/>
      <c r="D33" s="212"/>
      <c r="E33" s="57" t="s">
        <v>65</v>
      </c>
      <c r="F33" s="62">
        <v>0.08</v>
      </c>
      <c r="G33" s="59">
        <v>180000</v>
      </c>
      <c r="H33" s="60">
        <f>+G33*F33</f>
        <v>14400</v>
      </c>
      <c r="I33" s="61">
        <f t="shared" si="2"/>
        <v>720000</v>
      </c>
    </row>
    <row r="34" spans="1:9">
      <c r="A34" s="211"/>
      <c r="B34" s="212"/>
      <c r="C34" s="212"/>
      <c r="D34" s="212"/>
      <c r="E34" s="57"/>
      <c r="F34" s="62"/>
      <c r="G34" s="59"/>
      <c r="H34" s="60">
        <f>+G34*F34</f>
        <v>0</v>
      </c>
      <c r="I34" s="61">
        <f>+H34*I12</f>
        <v>0</v>
      </c>
    </row>
    <row r="35" spans="1:9">
      <c r="A35" s="213"/>
      <c r="B35" s="214"/>
      <c r="C35" s="214"/>
      <c r="D35" s="214"/>
      <c r="E35" s="57"/>
      <c r="F35" s="62"/>
      <c r="G35" s="59"/>
      <c r="H35" s="60">
        <f t="shared" ref="H35" si="3">+G35*F35</f>
        <v>0</v>
      </c>
    </row>
    <row r="36" spans="1:9" ht="13">
      <c r="A36" s="67"/>
      <c r="B36" s="47"/>
      <c r="C36" s="47"/>
      <c r="D36" s="47"/>
      <c r="E36" s="48"/>
      <c r="F36" s="49"/>
      <c r="G36" s="39" t="s">
        <v>66</v>
      </c>
      <c r="H36" s="75">
        <f>+SUM(H32:H35)</f>
        <v>30420</v>
      </c>
      <c r="I36" s="75">
        <f>+SUM(I32:I35)</f>
        <v>1521000</v>
      </c>
    </row>
    <row r="37" spans="1:9" ht="13">
      <c r="A37" s="209" t="s">
        <v>67</v>
      </c>
      <c r="B37" s="210"/>
      <c r="C37" s="210"/>
      <c r="D37" s="210"/>
      <c r="E37" s="65"/>
      <c r="F37" s="66"/>
      <c r="G37" s="55"/>
      <c r="H37" s="56"/>
    </row>
    <row r="38" spans="1:9">
      <c r="A38" s="213"/>
      <c r="B38" s="214"/>
      <c r="C38" s="214"/>
      <c r="D38" s="214"/>
      <c r="E38" s="57"/>
      <c r="F38" s="62"/>
      <c r="G38" s="59"/>
      <c r="H38" s="60">
        <f>+G38*F38</f>
        <v>0</v>
      </c>
    </row>
    <row r="39" spans="1:9">
      <c r="A39" s="213"/>
      <c r="B39" s="214"/>
      <c r="C39" s="214"/>
      <c r="D39" s="214"/>
      <c r="E39" s="57"/>
      <c r="F39" s="62"/>
      <c r="G39" s="59"/>
      <c r="H39" s="60">
        <f>+G39*F39</f>
        <v>0</v>
      </c>
    </row>
    <row r="40" spans="1:9">
      <c r="A40" s="213"/>
      <c r="B40" s="214"/>
      <c r="C40" s="214"/>
      <c r="D40" s="214"/>
      <c r="E40" s="57"/>
      <c r="F40" s="62"/>
      <c r="G40" s="59"/>
      <c r="H40" s="60">
        <f>+G40*F40</f>
        <v>0</v>
      </c>
    </row>
    <row r="41" spans="1:9" ht="13">
      <c r="A41" s="67"/>
      <c r="B41" s="47"/>
      <c r="C41" s="47"/>
      <c r="D41" s="47"/>
      <c r="E41" s="48"/>
      <c r="F41" s="63"/>
      <c r="G41" s="39" t="s">
        <v>68</v>
      </c>
      <c r="H41" s="64">
        <f>+SUM(H38:H40)</f>
        <v>0</v>
      </c>
    </row>
    <row r="42" spans="1:9" ht="13">
      <c r="A42" s="209" t="s">
        <v>69</v>
      </c>
      <c r="B42" s="210"/>
      <c r="C42" s="210"/>
      <c r="D42" s="210"/>
      <c r="E42" s="65"/>
      <c r="F42" s="66"/>
      <c r="G42" s="55"/>
      <c r="H42" s="56"/>
    </row>
    <row r="43" spans="1:9">
      <c r="A43" s="213"/>
      <c r="B43" s="214"/>
      <c r="C43" s="214"/>
      <c r="D43" s="214"/>
      <c r="E43" s="57"/>
      <c r="F43" s="62"/>
      <c r="G43" s="59"/>
      <c r="H43" s="60">
        <f t="shared" ref="H43:H48" si="4">+G43*F43</f>
        <v>0</v>
      </c>
    </row>
    <row r="44" spans="1:9">
      <c r="A44" s="213"/>
      <c r="B44" s="214"/>
      <c r="C44" s="214"/>
      <c r="D44" s="214"/>
      <c r="E44" s="57"/>
      <c r="F44" s="62"/>
      <c r="G44" s="59"/>
      <c r="H44" s="60">
        <f t="shared" si="4"/>
        <v>0</v>
      </c>
    </row>
    <row r="45" spans="1:9">
      <c r="A45" s="213"/>
      <c r="B45" s="214"/>
      <c r="C45" s="214"/>
      <c r="D45" s="214"/>
      <c r="E45" s="57"/>
      <c r="F45" s="62"/>
      <c r="G45" s="59"/>
      <c r="H45" s="60">
        <f t="shared" si="4"/>
        <v>0</v>
      </c>
    </row>
    <row r="46" spans="1:9">
      <c r="A46" s="213"/>
      <c r="B46" s="214"/>
      <c r="C46" s="214"/>
      <c r="D46" s="214"/>
      <c r="E46" s="57"/>
      <c r="F46" s="62"/>
      <c r="G46" s="59"/>
      <c r="H46" s="60">
        <f t="shared" si="4"/>
        <v>0</v>
      </c>
    </row>
    <row r="47" spans="1:9">
      <c r="A47" s="213"/>
      <c r="B47" s="214"/>
      <c r="C47" s="214"/>
      <c r="D47" s="214"/>
      <c r="E47" s="57"/>
      <c r="F47" s="62"/>
      <c r="G47" s="59"/>
      <c r="H47" s="60">
        <f t="shared" si="4"/>
        <v>0</v>
      </c>
    </row>
    <row r="48" spans="1:9">
      <c r="A48" s="213"/>
      <c r="B48" s="214"/>
      <c r="C48" s="214"/>
      <c r="D48" s="214"/>
      <c r="E48" s="57"/>
      <c r="F48" s="62"/>
      <c r="G48" s="59"/>
      <c r="H48" s="60">
        <f t="shared" si="4"/>
        <v>0</v>
      </c>
    </row>
    <row r="49" spans="1:8" ht="13.5" thickBot="1">
      <c r="A49" s="67"/>
      <c r="B49" s="47"/>
      <c r="C49" s="47"/>
      <c r="D49" s="47"/>
      <c r="E49" s="48"/>
      <c r="F49" s="49"/>
      <c r="G49" s="39" t="s">
        <v>70</v>
      </c>
      <c r="H49" s="64">
        <f>+SUM(H43:H48)</f>
        <v>0</v>
      </c>
    </row>
    <row r="50" spans="1:8" ht="18.5" thickBot="1">
      <c r="A50" s="215" t="s">
        <v>71</v>
      </c>
      <c r="B50" s="216"/>
      <c r="C50" s="216"/>
      <c r="D50" s="216"/>
      <c r="E50" s="216"/>
      <c r="F50" s="216"/>
      <c r="G50" s="217"/>
      <c r="H50" s="68">
        <f>+H23+H41+H26+H30+H49+H36</f>
        <v>94470</v>
      </c>
    </row>
    <row r="51" spans="1:8" ht="18">
      <c r="A51" s="69"/>
      <c r="B51" s="69"/>
      <c r="C51" s="69"/>
      <c r="D51" s="69"/>
      <c r="E51" s="69"/>
      <c r="F51" s="69"/>
      <c r="G51" s="69" t="s">
        <v>72</v>
      </c>
      <c r="H51" s="70">
        <f>+H50*0.12</f>
        <v>11336.4</v>
      </c>
    </row>
    <row r="52" spans="1:8" ht="18">
      <c r="A52" s="69"/>
      <c r="B52" s="69"/>
      <c r="C52" s="69"/>
      <c r="D52" s="69"/>
      <c r="E52" s="69"/>
      <c r="F52" s="69"/>
      <c r="G52" s="69" t="s">
        <v>73</v>
      </c>
      <c r="H52" s="70">
        <f>+H50*0.03</f>
        <v>2834.1</v>
      </c>
    </row>
    <row r="53" spans="1:8" ht="18">
      <c r="A53" s="69"/>
      <c r="B53" s="69"/>
      <c r="C53" s="69"/>
      <c r="D53" s="69"/>
      <c r="E53" s="69"/>
      <c r="F53" s="69"/>
      <c r="G53" s="69" t="s">
        <v>74</v>
      </c>
      <c r="H53" s="70">
        <f>+H50*0.04</f>
        <v>3778.8</v>
      </c>
    </row>
    <row r="54" spans="1:8" ht="13" thickBot="1">
      <c r="G54" s="26" t="s">
        <v>75</v>
      </c>
      <c r="H54" s="26">
        <f>+H53*0.19</f>
        <v>717.97200000000009</v>
      </c>
    </row>
    <row r="55" spans="1:8" ht="18.5" thickBot="1">
      <c r="A55" s="215" t="s">
        <v>76</v>
      </c>
      <c r="B55" s="216"/>
      <c r="C55" s="216"/>
      <c r="D55" s="216"/>
      <c r="E55" s="216"/>
      <c r="F55" s="216"/>
      <c r="G55" s="217"/>
      <c r="H55" s="71">
        <f>+H51+H52+H53+H54</f>
        <v>18667.272000000001</v>
      </c>
    </row>
    <row r="56" spans="1:8" ht="13" thickBot="1"/>
    <row r="57" spans="1:8" ht="18.5" thickBot="1">
      <c r="A57" s="215" t="s">
        <v>77</v>
      </c>
      <c r="B57" s="216"/>
      <c r="C57" s="216"/>
      <c r="D57" s="216"/>
      <c r="E57" s="216"/>
      <c r="F57" s="216"/>
      <c r="G57" s="217"/>
      <c r="H57" s="70">
        <f>+H55+H50</f>
        <v>113137.272</v>
      </c>
    </row>
  </sheetData>
  <mergeCells count="41">
    <mergeCell ref="A47:D47"/>
    <mergeCell ref="A48:D48"/>
    <mergeCell ref="A50:G50"/>
    <mergeCell ref="A55:G55"/>
    <mergeCell ref="A57:G57"/>
    <mergeCell ref="A46:D46"/>
    <mergeCell ref="A33:D33"/>
    <mergeCell ref="A34:D34"/>
    <mergeCell ref="A35:D35"/>
    <mergeCell ref="A37:D37"/>
    <mergeCell ref="A38:D38"/>
    <mergeCell ref="A39:D39"/>
    <mergeCell ref="A40:D40"/>
    <mergeCell ref="A42:D42"/>
    <mergeCell ref="A43:D43"/>
    <mergeCell ref="A44:D44"/>
    <mergeCell ref="A45:D45"/>
    <mergeCell ref="A32:D32"/>
    <mergeCell ref="A19:D19"/>
    <mergeCell ref="A20:D20"/>
    <mergeCell ref="A21:D21"/>
    <mergeCell ref="A22:D22"/>
    <mergeCell ref="A23:D23"/>
    <mergeCell ref="A24:D24"/>
    <mergeCell ref="A25:D25"/>
    <mergeCell ref="A27:D27"/>
    <mergeCell ref="A28:D28"/>
    <mergeCell ref="A29:D29"/>
    <mergeCell ref="A31:D31"/>
    <mergeCell ref="A18:D18"/>
    <mergeCell ref="A1:H1"/>
    <mergeCell ref="B3:G3"/>
    <mergeCell ref="B5:G5"/>
    <mergeCell ref="D7:G7"/>
    <mergeCell ref="B9:G9"/>
    <mergeCell ref="C11:G11"/>
    <mergeCell ref="C12:G12"/>
    <mergeCell ref="A14:D14"/>
    <mergeCell ref="A15:D15"/>
    <mergeCell ref="A16:D16"/>
    <mergeCell ref="A17:D17"/>
  </mergeCells>
  <pageMargins left="0.70866141732283472" right="0.70866141732283472" top="0.74803149606299213" bottom="0.74803149606299213" header="0.31496062992125984" footer="0.31496062992125984"/>
  <pageSetup scale="7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C000"/>
  </sheetPr>
  <dimension ref="A1:I59"/>
  <sheetViews>
    <sheetView topLeftCell="A30" workbookViewId="0">
      <selection activeCell="F43" sqref="F43"/>
    </sheetView>
  </sheetViews>
  <sheetFormatPr baseColWidth="10" defaultColWidth="11.453125" defaultRowHeight="12.5"/>
  <cols>
    <col min="1" max="1" width="26.7265625" style="26" bestFit="1" customWidth="1"/>
    <col min="2" max="2" width="5.453125" style="26" bestFit="1" customWidth="1"/>
    <col min="3" max="3" width="8.7265625" style="26" bestFit="1" customWidth="1"/>
    <col min="4" max="4" width="19.1796875" style="26" customWidth="1"/>
    <col min="5" max="5" width="12.453125" style="26" customWidth="1"/>
    <col min="6" max="6" width="12.7265625" style="26" customWidth="1"/>
    <col min="7" max="7" width="13.54296875" style="26" customWidth="1"/>
    <col min="8" max="8" width="19.54296875" style="26" customWidth="1"/>
    <col min="9" max="9" width="16.1796875" style="26" bestFit="1" customWidth="1"/>
    <col min="10" max="16384" width="11.453125" style="26"/>
  </cols>
  <sheetData>
    <row r="1" spans="1:9" ht="23.5" thickBot="1">
      <c r="A1" s="197" t="s">
        <v>42</v>
      </c>
      <c r="B1" s="198"/>
      <c r="C1" s="198"/>
      <c r="D1" s="198"/>
      <c r="E1" s="198"/>
      <c r="F1" s="198"/>
      <c r="G1" s="198"/>
      <c r="H1" s="199"/>
    </row>
    <row r="2" spans="1:9" ht="13">
      <c r="A2" s="27"/>
      <c r="B2" s="28"/>
      <c r="C2" s="28"/>
      <c r="D2" s="29"/>
      <c r="E2" s="29"/>
      <c r="F2" s="30"/>
      <c r="G2" s="31"/>
      <c r="H2" s="32"/>
    </row>
    <row r="3" spans="1:9" ht="15.5">
      <c r="A3" s="33" t="s">
        <v>43</v>
      </c>
      <c r="B3" s="200"/>
      <c r="C3" s="200"/>
      <c r="D3" s="200"/>
      <c r="E3" s="200"/>
      <c r="F3" s="200"/>
      <c r="G3" s="200"/>
      <c r="H3" s="34"/>
    </row>
    <row r="4" spans="1:9" ht="13">
      <c r="A4" s="33"/>
      <c r="B4" s="35"/>
      <c r="C4" s="36"/>
      <c r="D4" s="35"/>
      <c r="E4" s="36"/>
      <c r="F4" s="37"/>
      <c r="G4" s="35"/>
      <c r="H4" s="34"/>
    </row>
    <row r="5" spans="1:9" ht="15.5">
      <c r="A5" s="33" t="s">
        <v>44</v>
      </c>
      <c r="B5" s="200" t="s">
        <v>45</v>
      </c>
      <c r="C5" s="200"/>
      <c r="D5" s="200"/>
      <c r="E5" s="200"/>
      <c r="F5" s="200"/>
      <c r="G5" s="200"/>
      <c r="H5" s="34"/>
    </row>
    <row r="6" spans="1:9" ht="13">
      <c r="A6" s="33"/>
      <c r="B6" s="35"/>
      <c r="C6" s="36"/>
      <c r="D6" s="35"/>
      <c r="E6" s="36"/>
      <c r="F6" s="37"/>
      <c r="G6" s="35"/>
      <c r="H6" s="34"/>
    </row>
    <row r="7" spans="1:9" ht="13">
      <c r="A7" s="33" t="s">
        <v>46</v>
      </c>
      <c r="B7" s="38">
        <v>1</v>
      </c>
      <c r="C7" s="39" t="s">
        <v>47</v>
      </c>
      <c r="D7" s="201" t="s">
        <v>101</v>
      </c>
      <c r="E7" s="201"/>
      <c r="F7" s="201"/>
      <c r="G7" s="201"/>
      <c r="H7" s="34"/>
    </row>
    <row r="8" spans="1:9" ht="13">
      <c r="A8" s="33"/>
      <c r="B8" s="35"/>
      <c r="C8" s="36"/>
      <c r="D8" s="35"/>
      <c r="E8" s="36"/>
      <c r="F8" s="37"/>
      <c r="G8" s="35"/>
      <c r="H8" s="34"/>
    </row>
    <row r="9" spans="1:9" ht="14">
      <c r="A9" s="33" t="s">
        <v>49</v>
      </c>
      <c r="B9" s="202"/>
      <c r="C9" s="202"/>
      <c r="D9" s="202"/>
      <c r="E9" s="202"/>
      <c r="F9" s="202"/>
      <c r="G9" s="202"/>
      <c r="H9" s="40"/>
    </row>
    <row r="10" spans="1:9" ht="13">
      <c r="A10" s="33"/>
      <c r="B10" s="35"/>
      <c r="C10" s="35"/>
      <c r="D10" s="35"/>
      <c r="E10" s="36"/>
      <c r="F10" s="37"/>
      <c r="G10" s="35"/>
      <c r="H10" s="41"/>
    </row>
    <row r="11" spans="1:9" ht="13">
      <c r="A11" s="33" t="s">
        <v>50</v>
      </c>
      <c r="B11" s="42" t="s">
        <v>51</v>
      </c>
      <c r="C11" s="203" t="s">
        <v>52</v>
      </c>
      <c r="D11" s="203"/>
      <c r="E11" s="203"/>
      <c r="F11" s="203"/>
      <c r="G11" s="203"/>
      <c r="H11" s="43" t="s">
        <v>53</v>
      </c>
    </row>
    <row r="12" spans="1:9" ht="48" customHeight="1">
      <c r="A12" s="33"/>
      <c r="B12" s="44" t="str">
        <f>+'[1]Oferta Economica (2)'!A16</f>
        <v>1.1</v>
      </c>
      <c r="C12" s="204" t="s">
        <v>90</v>
      </c>
      <c r="D12" s="205"/>
      <c r="E12" s="205"/>
      <c r="F12" s="205"/>
      <c r="G12" s="206"/>
      <c r="H12" s="45" t="str">
        <f>+'[1]Oferta Economica (2)'!F16</f>
        <v>m2</v>
      </c>
      <c r="I12" s="78">
        <v>50</v>
      </c>
    </row>
    <row r="13" spans="1:9" ht="13" thickBot="1">
      <c r="A13" s="46"/>
      <c r="B13" s="47"/>
      <c r="C13" s="47"/>
      <c r="D13" s="47"/>
      <c r="E13" s="48"/>
      <c r="F13" s="49"/>
      <c r="G13" s="47"/>
      <c r="H13" s="50"/>
    </row>
    <row r="14" spans="1:9" ht="13.5" thickBot="1">
      <c r="A14" s="207" t="s">
        <v>38</v>
      </c>
      <c r="B14" s="208"/>
      <c r="C14" s="208"/>
      <c r="D14" s="208"/>
      <c r="E14" s="51" t="s">
        <v>11</v>
      </c>
      <c r="F14" s="52" t="s">
        <v>12</v>
      </c>
      <c r="G14" s="51" t="s">
        <v>55</v>
      </c>
      <c r="H14" s="76" t="s">
        <v>56</v>
      </c>
      <c r="I14" s="77" t="s">
        <v>86</v>
      </c>
    </row>
    <row r="15" spans="1:9" ht="13">
      <c r="A15" s="209" t="s">
        <v>57</v>
      </c>
      <c r="B15" s="210"/>
      <c r="C15" s="210"/>
      <c r="D15" s="210"/>
      <c r="E15" s="53"/>
      <c r="F15" s="54"/>
      <c r="G15" s="55"/>
      <c r="H15" s="56"/>
    </row>
    <row r="16" spans="1:9">
      <c r="A16" s="74" t="s">
        <v>91</v>
      </c>
      <c r="B16" s="72"/>
      <c r="C16" s="72"/>
      <c r="D16" s="73"/>
      <c r="E16" s="57" t="s">
        <v>79</v>
      </c>
      <c r="F16" s="58">
        <v>0.02</v>
      </c>
      <c r="G16" s="59">
        <v>180000</v>
      </c>
      <c r="H16" s="60">
        <f>+F16*G16</f>
        <v>3600</v>
      </c>
      <c r="I16" s="61">
        <f>+I$12*H16</f>
        <v>180000</v>
      </c>
    </row>
    <row r="17" spans="1:9">
      <c r="A17" s="74" t="s">
        <v>80</v>
      </c>
      <c r="B17" s="72"/>
      <c r="C17" s="72"/>
      <c r="D17" s="73"/>
      <c r="E17" s="57" t="s">
        <v>82</v>
      </c>
      <c r="F17" s="58">
        <v>1.5</v>
      </c>
      <c r="G17" s="59">
        <v>650</v>
      </c>
      <c r="H17" s="60">
        <f t="shared" ref="H17:H23" si="0">+F17*G17</f>
        <v>975</v>
      </c>
      <c r="I17" s="61">
        <f>+I$12*H17</f>
        <v>48750</v>
      </c>
    </row>
    <row r="18" spans="1:9">
      <c r="A18" s="74" t="s">
        <v>92</v>
      </c>
      <c r="B18" s="72"/>
      <c r="C18" s="72"/>
      <c r="D18" s="73"/>
      <c r="E18" s="57" t="s">
        <v>79</v>
      </c>
      <c r="F18" s="58">
        <v>1.4999999999999999E-2</v>
      </c>
      <c r="G18" s="59">
        <v>90000</v>
      </c>
      <c r="H18" s="60">
        <f t="shared" si="0"/>
        <v>1350</v>
      </c>
      <c r="I18" s="61">
        <f t="shared" ref="I18:I21" si="1">+I$12*H18</f>
        <v>67500</v>
      </c>
    </row>
    <row r="19" spans="1:9">
      <c r="A19" s="74" t="s">
        <v>93</v>
      </c>
      <c r="B19" s="72"/>
      <c r="C19" s="72"/>
      <c r="D19" s="73"/>
      <c r="E19" s="57" t="s">
        <v>82</v>
      </c>
      <c r="F19" s="58">
        <v>1.5</v>
      </c>
      <c r="G19" s="59">
        <v>5500</v>
      </c>
      <c r="H19" s="60">
        <f t="shared" si="0"/>
        <v>8250</v>
      </c>
      <c r="I19" s="61">
        <f t="shared" si="1"/>
        <v>412500</v>
      </c>
    </row>
    <row r="20" spans="1:9">
      <c r="A20" s="74" t="s">
        <v>94</v>
      </c>
      <c r="B20" s="72"/>
      <c r="C20" s="72"/>
      <c r="D20" s="73"/>
      <c r="E20" s="57" t="s">
        <v>95</v>
      </c>
      <c r="F20" s="58">
        <v>0.05</v>
      </c>
      <c r="G20" s="59">
        <v>1500</v>
      </c>
      <c r="H20" s="60">
        <f t="shared" si="0"/>
        <v>75</v>
      </c>
      <c r="I20" s="61">
        <f t="shared" si="1"/>
        <v>3750</v>
      </c>
    </row>
    <row r="21" spans="1:9">
      <c r="A21" s="74" t="s">
        <v>96</v>
      </c>
      <c r="B21" s="72"/>
      <c r="C21" s="72"/>
      <c r="D21" s="73"/>
      <c r="E21" s="57" t="s">
        <v>97</v>
      </c>
      <c r="F21" s="58">
        <v>0.03</v>
      </c>
      <c r="G21" s="59">
        <v>40000</v>
      </c>
      <c r="H21" s="60">
        <f t="shared" si="0"/>
        <v>1200</v>
      </c>
      <c r="I21" s="61">
        <f t="shared" si="1"/>
        <v>60000</v>
      </c>
    </row>
    <row r="22" spans="1:9">
      <c r="A22" s="74" t="s">
        <v>98</v>
      </c>
      <c r="B22" s="72"/>
      <c r="C22" s="72"/>
      <c r="D22" s="73"/>
      <c r="E22" s="57" t="s">
        <v>97</v>
      </c>
      <c r="F22" s="58">
        <v>0.12</v>
      </c>
      <c r="G22" s="59">
        <v>55000</v>
      </c>
      <c r="H22" s="60">
        <f t="shared" si="0"/>
        <v>6600</v>
      </c>
      <c r="I22" s="61"/>
    </row>
    <row r="23" spans="1:9">
      <c r="A23" s="74" t="s">
        <v>99</v>
      </c>
      <c r="B23" s="72"/>
      <c r="C23" s="72"/>
      <c r="D23" s="73"/>
      <c r="E23" s="57" t="s">
        <v>100</v>
      </c>
      <c r="F23" s="58">
        <v>1</v>
      </c>
      <c r="G23" s="59">
        <v>500</v>
      </c>
      <c r="H23" s="60">
        <f t="shared" si="0"/>
        <v>500</v>
      </c>
      <c r="I23" s="61"/>
    </row>
    <row r="24" spans="1:9">
      <c r="A24" s="194"/>
      <c r="B24" s="195"/>
      <c r="C24" s="195"/>
      <c r="D24" s="196"/>
      <c r="E24" s="57"/>
      <c r="F24" s="58"/>
      <c r="G24" s="59"/>
      <c r="H24" s="60"/>
      <c r="I24" s="61"/>
    </row>
    <row r="25" spans="1:9" ht="13">
      <c r="A25" s="194"/>
      <c r="B25" s="195"/>
      <c r="C25" s="195"/>
      <c r="D25" s="196"/>
      <c r="E25" s="57"/>
      <c r="F25" s="58"/>
      <c r="G25" s="59"/>
      <c r="H25" s="75">
        <f>+SUM(H16:H24)</f>
        <v>22550</v>
      </c>
      <c r="I25" s="75">
        <f>+SUM(I16:I24)</f>
        <v>772500</v>
      </c>
    </row>
    <row r="26" spans="1:9" ht="13">
      <c r="A26" s="209" t="s">
        <v>60</v>
      </c>
      <c r="B26" s="210"/>
      <c r="C26" s="210"/>
      <c r="D26" s="210"/>
      <c r="E26" s="65"/>
      <c r="F26" s="66"/>
      <c r="G26" s="55"/>
      <c r="H26" s="56"/>
    </row>
    <row r="27" spans="1:9">
      <c r="A27" s="211" t="s">
        <v>61</v>
      </c>
      <c r="B27" s="212"/>
      <c r="C27" s="212"/>
      <c r="D27" s="212"/>
      <c r="E27" s="57" t="s">
        <v>3</v>
      </c>
      <c r="F27" s="62">
        <v>1</v>
      </c>
      <c r="G27" s="59">
        <v>5000</v>
      </c>
      <c r="H27" s="60">
        <f>+G27*F27</f>
        <v>5000</v>
      </c>
      <c r="I27" s="61">
        <f>+G27*I12</f>
        <v>250000</v>
      </c>
    </row>
    <row r="28" spans="1:9" ht="13">
      <c r="A28" s="67"/>
      <c r="B28" s="47"/>
      <c r="C28" s="47"/>
      <c r="D28" s="47"/>
      <c r="E28" s="48"/>
      <c r="F28" s="63"/>
      <c r="G28" s="39"/>
      <c r="H28" s="75">
        <f>+SUM(H27:H27)</f>
        <v>5000</v>
      </c>
      <c r="I28" s="75">
        <f>+SUM(I27:I27)</f>
        <v>250000</v>
      </c>
    </row>
    <row r="29" spans="1:9" ht="13">
      <c r="A29" s="209" t="s">
        <v>62</v>
      </c>
      <c r="B29" s="210"/>
      <c r="C29" s="210"/>
      <c r="D29" s="210"/>
      <c r="E29" s="65"/>
      <c r="F29" s="66"/>
      <c r="G29" s="55"/>
      <c r="H29" s="56"/>
    </row>
    <row r="30" spans="1:9">
      <c r="A30" s="211"/>
      <c r="B30" s="212"/>
      <c r="C30" s="212"/>
      <c r="D30" s="212"/>
      <c r="E30" s="57"/>
      <c r="F30" s="62"/>
      <c r="G30" s="59"/>
      <c r="H30" s="60"/>
    </row>
    <row r="31" spans="1:9">
      <c r="A31" s="213"/>
      <c r="B31" s="214"/>
      <c r="C31" s="214"/>
      <c r="D31" s="214"/>
      <c r="E31" s="57"/>
      <c r="F31" s="62"/>
      <c r="G31" s="59"/>
      <c r="H31" s="60">
        <f>+G31*F31</f>
        <v>0</v>
      </c>
    </row>
    <row r="32" spans="1:9" ht="13">
      <c r="A32" s="67"/>
      <c r="B32" s="47"/>
      <c r="C32" s="47"/>
      <c r="D32" s="47"/>
      <c r="E32" s="48"/>
      <c r="F32" s="63"/>
      <c r="G32" s="39"/>
      <c r="H32" s="75">
        <f>+SUM(H30:H31)</f>
        <v>0</v>
      </c>
      <c r="I32" s="75">
        <f>+SUM(I31:I31)</f>
        <v>0</v>
      </c>
    </row>
    <row r="33" spans="1:9" ht="13">
      <c r="A33" s="209" t="s">
        <v>63</v>
      </c>
      <c r="B33" s="210"/>
      <c r="C33" s="210"/>
      <c r="D33" s="210"/>
      <c r="E33" s="65" t="s">
        <v>11</v>
      </c>
      <c r="F33" s="65" t="s">
        <v>64</v>
      </c>
      <c r="G33" s="65" t="s">
        <v>55</v>
      </c>
      <c r="H33" s="65" t="s">
        <v>56</v>
      </c>
    </row>
    <row r="34" spans="1:9">
      <c r="A34" s="211" t="s">
        <v>87</v>
      </c>
      <c r="B34" s="212"/>
      <c r="C34" s="212"/>
      <c r="D34" s="212"/>
      <c r="E34" s="57" t="s">
        <v>65</v>
      </c>
      <c r="F34" s="62">
        <v>0.1</v>
      </c>
      <c r="G34" s="59">
        <v>180000</v>
      </c>
      <c r="H34" s="60">
        <f>+G34*F34</f>
        <v>18000</v>
      </c>
      <c r="I34" s="61">
        <f t="shared" ref="I34:I35" si="2">+I$12*H34</f>
        <v>900000</v>
      </c>
    </row>
    <row r="35" spans="1:9">
      <c r="A35" s="211" t="s">
        <v>85</v>
      </c>
      <c r="B35" s="212"/>
      <c r="C35" s="212"/>
      <c r="D35" s="212"/>
      <c r="E35" s="57" t="s">
        <v>65</v>
      </c>
      <c r="F35" s="62">
        <v>0.09</v>
      </c>
      <c r="G35" s="59">
        <v>180000</v>
      </c>
      <c r="H35" s="60">
        <f>+G35*F35</f>
        <v>16200</v>
      </c>
      <c r="I35" s="61">
        <f t="shared" si="2"/>
        <v>810000</v>
      </c>
    </row>
    <row r="36" spans="1:9">
      <c r="A36" s="211"/>
      <c r="B36" s="212"/>
      <c r="C36" s="212"/>
      <c r="D36" s="212"/>
      <c r="E36" s="57"/>
      <c r="F36" s="62"/>
      <c r="G36" s="59"/>
      <c r="H36" s="60">
        <f>+G36*F36</f>
        <v>0</v>
      </c>
      <c r="I36" s="61">
        <f>+H36*I12</f>
        <v>0</v>
      </c>
    </row>
    <row r="37" spans="1:9">
      <c r="A37" s="213"/>
      <c r="B37" s="214"/>
      <c r="C37" s="214"/>
      <c r="D37" s="214"/>
      <c r="E37" s="57"/>
      <c r="F37" s="62"/>
      <c r="G37" s="59"/>
      <c r="H37" s="60">
        <f t="shared" ref="H37" si="3">+G37*F37</f>
        <v>0</v>
      </c>
    </row>
    <row r="38" spans="1:9" ht="13">
      <c r="A38" s="67"/>
      <c r="B38" s="47"/>
      <c r="C38" s="47"/>
      <c r="D38" s="47"/>
      <c r="E38" s="48"/>
      <c r="F38" s="49"/>
      <c r="G38" s="39" t="s">
        <v>66</v>
      </c>
      <c r="H38" s="75">
        <f>+SUM(H34:H37)</f>
        <v>34200</v>
      </c>
      <c r="I38" s="75">
        <f>+SUM(I34:I37)</f>
        <v>1710000</v>
      </c>
    </row>
    <row r="39" spans="1:9" ht="13">
      <c r="A39" s="209" t="s">
        <v>67</v>
      </c>
      <c r="B39" s="210"/>
      <c r="C39" s="210"/>
      <c r="D39" s="210"/>
      <c r="E39" s="65"/>
      <c r="F39" s="66"/>
      <c r="G39" s="55"/>
      <c r="H39" s="56"/>
    </row>
    <row r="40" spans="1:9">
      <c r="A40" s="213"/>
      <c r="B40" s="214"/>
      <c r="C40" s="214"/>
      <c r="D40" s="214"/>
      <c r="E40" s="57"/>
      <c r="F40" s="62"/>
      <c r="G40" s="59"/>
      <c r="H40" s="60">
        <f>+G40*F40</f>
        <v>0</v>
      </c>
    </row>
    <row r="41" spans="1:9">
      <c r="A41" s="213"/>
      <c r="B41" s="214"/>
      <c r="C41" s="214"/>
      <c r="D41" s="214"/>
      <c r="E41" s="57"/>
      <c r="F41" s="62"/>
      <c r="G41" s="59"/>
      <c r="H41" s="60">
        <f>+G41*F41</f>
        <v>0</v>
      </c>
    </row>
    <row r="42" spans="1:9">
      <c r="A42" s="213"/>
      <c r="B42" s="214"/>
      <c r="C42" s="214"/>
      <c r="D42" s="214"/>
      <c r="E42" s="57"/>
      <c r="F42" s="62"/>
      <c r="G42" s="59"/>
      <c r="H42" s="60">
        <f>+G42*F42</f>
        <v>0</v>
      </c>
    </row>
    <row r="43" spans="1:9" ht="13">
      <c r="A43" s="67"/>
      <c r="B43" s="47"/>
      <c r="C43" s="47"/>
      <c r="D43" s="47"/>
      <c r="E43" s="48"/>
      <c r="F43" s="63"/>
      <c r="G43" s="39" t="s">
        <v>68</v>
      </c>
      <c r="H43" s="75">
        <f>+SUM(H40:H42)</f>
        <v>0</v>
      </c>
      <c r="I43" s="75">
        <f>+SUM(I40:I42)</f>
        <v>0</v>
      </c>
    </row>
    <row r="44" spans="1:9" ht="13">
      <c r="A44" s="209" t="s">
        <v>69</v>
      </c>
      <c r="B44" s="210"/>
      <c r="C44" s="210"/>
      <c r="D44" s="210"/>
      <c r="E44" s="65"/>
      <c r="F44" s="66"/>
      <c r="G44" s="55"/>
      <c r="H44" s="56"/>
    </row>
    <row r="45" spans="1:9">
      <c r="A45" s="213"/>
      <c r="B45" s="214"/>
      <c r="C45" s="214"/>
      <c r="D45" s="214"/>
      <c r="E45" s="57"/>
      <c r="F45" s="62"/>
      <c r="G45" s="59"/>
      <c r="H45" s="60">
        <f t="shared" ref="H45:H50" si="4">+G45*F45</f>
        <v>0</v>
      </c>
    </row>
    <row r="46" spans="1:9">
      <c r="A46" s="213"/>
      <c r="B46" s="214"/>
      <c r="C46" s="214"/>
      <c r="D46" s="214"/>
      <c r="E46" s="57"/>
      <c r="F46" s="62"/>
      <c r="G46" s="59"/>
      <c r="H46" s="60">
        <f t="shared" si="4"/>
        <v>0</v>
      </c>
    </row>
    <row r="47" spans="1:9">
      <c r="A47" s="213"/>
      <c r="B47" s="214"/>
      <c r="C47" s="214"/>
      <c r="D47" s="214"/>
      <c r="E47" s="57"/>
      <c r="F47" s="62"/>
      <c r="G47" s="59"/>
      <c r="H47" s="60">
        <f t="shared" si="4"/>
        <v>0</v>
      </c>
    </row>
    <row r="48" spans="1:9">
      <c r="A48" s="213"/>
      <c r="B48" s="214"/>
      <c r="C48" s="214"/>
      <c r="D48" s="214"/>
      <c r="E48" s="57"/>
      <c r="F48" s="62"/>
      <c r="G48" s="59"/>
      <c r="H48" s="60">
        <f t="shared" si="4"/>
        <v>0</v>
      </c>
    </row>
    <row r="49" spans="1:9">
      <c r="A49" s="213"/>
      <c r="B49" s="214"/>
      <c r="C49" s="214"/>
      <c r="D49" s="214"/>
      <c r="E49" s="57"/>
      <c r="F49" s="62"/>
      <c r="G49" s="59"/>
      <c r="H49" s="60">
        <f t="shared" si="4"/>
        <v>0</v>
      </c>
    </row>
    <row r="50" spans="1:9">
      <c r="A50" s="213"/>
      <c r="B50" s="214"/>
      <c r="C50" s="214"/>
      <c r="D50" s="214"/>
      <c r="E50" s="57"/>
      <c r="F50" s="62"/>
      <c r="G50" s="59"/>
      <c r="H50" s="60">
        <f t="shared" si="4"/>
        <v>0</v>
      </c>
    </row>
    <row r="51" spans="1:9" ht="13.5" thickBot="1">
      <c r="A51" s="67"/>
      <c r="B51" s="47"/>
      <c r="C51" s="47"/>
      <c r="D51" s="47"/>
      <c r="E51" s="48"/>
      <c r="F51" s="49"/>
      <c r="G51" s="39" t="s">
        <v>70</v>
      </c>
      <c r="H51" s="75">
        <f>+SUM(H45:H50)</f>
        <v>0</v>
      </c>
      <c r="I51" s="75">
        <f>+SUM(I45:I50)</f>
        <v>0</v>
      </c>
    </row>
    <row r="52" spans="1:9" ht="18.5" thickBot="1">
      <c r="A52" s="215" t="s">
        <v>71</v>
      </c>
      <c r="B52" s="216"/>
      <c r="C52" s="216"/>
      <c r="D52" s="216"/>
      <c r="E52" s="216"/>
      <c r="F52" s="216"/>
      <c r="G52" s="217"/>
      <c r="H52" s="68">
        <f>+H25+H43+H28+H32+H51+H38</f>
        <v>61750</v>
      </c>
      <c r="I52" s="75">
        <f>+I38+I32+I28+I25+I43+I51</f>
        <v>2732500</v>
      </c>
    </row>
    <row r="53" spans="1:9" ht="18">
      <c r="A53" s="69"/>
      <c r="B53" s="69"/>
      <c r="C53" s="69"/>
      <c r="D53" s="69"/>
      <c r="E53" s="69"/>
      <c r="F53" s="69"/>
      <c r="G53" s="69" t="s">
        <v>72</v>
      </c>
      <c r="H53" s="70">
        <f>+H52*0.12</f>
        <v>7410</v>
      </c>
    </row>
    <row r="54" spans="1:9" ht="18">
      <c r="A54" s="69"/>
      <c r="B54" s="69"/>
      <c r="C54" s="69"/>
      <c r="D54" s="69"/>
      <c r="E54" s="69"/>
      <c r="F54" s="69"/>
      <c r="G54" s="69" t="s">
        <v>73</v>
      </c>
      <c r="H54" s="70">
        <f>+H52*0.03</f>
        <v>1852.5</v>
      </c>
    </row>
    <row r="55" spans="1:9" ht="18">
      <c r="A55" s="69"/>
      <c r="B55" s="69"/>
      <c r="C55" s="69"/>
      <c r="D55" s="69"/>
      <c r="E55" s="69"/>
      <c r="F55" s="69"/>
      <c r="G55" s="69" t="s">
        <v>74</v>
      </c>
      <c r="H55" s="70">
        <f>+H52*0.04</f>
        <v>2470</v>
      </c>
    </row>
    <row r="56" spans="1:9" ht="13" thickBot="1">
      <c r="G56" s="26" t="s">
        <v>75</v>
      </c>
      <c r="H56" s="26">
        <f>+H55*0.19</f>
        <v>469.3</v>
      </c>
    </row>
    <row r="57" spans="1:9" ht="18.5" thickBot="1">
      <c r="A57" s="215" t="s">
        <v>76</v>
      </c>
      <c r="B57" s="216"/>
      <c r="C57" s="216"/>
      <c r="D57" s="216"/>
      <c r="E57" s="216"/>
      <c r="F57" s="216"/>
      <c r="G57" s="217"/>
      <c r="H57" s="71">
        <f>+H53+H54+H55+H56</f>
        <v>12201.8</v>
      </c>
    </row>
    <row r="58" spans="1:9" ht="13" thickBot="1"/>
    <row r="59" spans="1:9" ht="18.5" thickBot="1">
      <c r="A59" s="215" t="s">
        <v>77</v>
      </c>
      <c r="B59" s="216"/>
      <c r="C59" s="216"/>
      <c r="D59" s="216"/>
      <c r="E59" s="216"/>
      <c r="F59" s="216"/>
      <c r="G59" s="217"/>
      <c r="H59" s="70">
        <f>+H57+H52</f>
        <v>73951.8</v>
      </c>
    </row>
  </sheetData>
  <mergeCells count="35">
    <mergeCell ref="A49:D49"/>
    <mergeCell ref="A50:D50"/>
    <mergeCell ref="A52:G52"/>
    <mergeCell ref="A57:G57"/>
    <mergeCell ref="A59:G59"/>
    <mergeCell ref="A48:D48"/>
    <mergeCell ref="A35:D35"/>
    <mergeCell ref="A36:D36"/>
    <mergeCell ref="A37:D37"/>
    <mergeCell ref="A39:D39"/>
    <mergeCell ref="A40:D40"/>
    <mergeCell ref="A41:D41"/>
    <mergeCell ref="A42:D42"/>
    <mergeCell ref="A44:D44"/>
    <mergeCell ref="A45:D45"/>
    <mergeCell ref="A46:D46"/>
    <mergeCell ref="A47:D47"/>
    <mergeCell ref="A34:D34"/>
    <mergeCell ref="A24:D24"/>
    <mergeCell ref="A25:D25"/>
    <mergeCell ref="A26:D26"/>
    <mergeCell ref="C12:G12"/>
    <mergeCell ref="A14:D14"/>
    <mergeCell ref="A15:D15"/>
    <mergeCell ref="A27:D27"/>
    <mergeCell ref="A29:D29"/>
    <mergeCell ref="A30:D30"/>
    <mergeCell ref="A31:D31"/>
    <mergeCell ref="A33:D33"/>
    <mergeCell ref="C11:G11"/>
    <mergeCell ref="A1:H1"/>
    <mergeCell ref="B3:G3"/>
    <mergeCell ref="B5:G5"/>
    <mergeCell ref="D7:G7"/>
    <mergeCell ref="B9:G9"/>
  </mergeCells>
  <pageMargins left="0.70866141732283472" right="0.70866141732283472" top="0.74803149606299213" bottom="0.74803149606299213" header="0.31496062992125984" footer="0.31496062992125984"/>
  <pageSetup scale="7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C000"/>
  </sheetPr>
  <dimension ref="A1:I65"/>
  <sheetViews>
    <sheetView workbookViewId="0">
      <selection activeCell="A20" sqref="A20"/>
    </sheetView>
  </sheetViews>
  <sheetFormatPr baseColWidth="10" defaultColWidth="11.453125" defaultRowHeight="12.5"/>
  <cols>
    <col min="1" max="1" width="26.7265625" style="26" bestFit="1" customWidth="1"/>
    <col min="2" max="2" width="5.453125" style="26" bestFit="1" customWidth="1"/>
    <col min="3" max="3" width="8.7265625" style="26" bestFit="1" customWidth="1"/>
    <col min="4" max="4" width="19.1796875" style="26" customWidth="1"/>
    <col min="5" max="5" width="12.453125" style="26" customWidth="1"/>
    <col min="6" max="6" width="12.7265625" style="26" customWidth="1"/>
    <col min="7" max="7" width="13.54296875" style="26" customWidth="1"/>
    <col min="8" max="8" width="19.54296875" style="26" customWidth="1"/>
    <col min="9" max="9" width="16.1796875" style="26" bestFit="1" customWidth="1"/>
    <col min="10" max="16384" width="11.453125" style="26"/>
  </cols>
  <sheetData>
    <row r="1" spans="1:9" ht="23.5" thickBot="1">
      <c r="A1" s="197" t="s">
        <v>42</v>
      </c>
      <c r="B1" s="198"/>
      <c r="C1" s="198"/>
      <c r="D1" s="198"/>
      <c r="E1" s="198"/>
      <c r="F1" s="198"/>
      <c r="G1" s="198"/>
      <c r="H1" s="199"/>
    </row>
    <row r="2" spans="1:9" ht="13">
      <c r="A2" s="27"/>
      <c r="B2" s="28"/>
      <c r="C2" s="28"/>
      <c r="D2" s="29"/>
      <c r="E2" s="29"/>
      <c r="F2" s="30"/>
      <c r="G2" s="31"/>
      <c r="H2" s="32"/>
    </row>
    <row r="3" spans="1:9" ht="15.5">
      <c r="A3" s="33" t="s">
        <v>43</v>
      </c>
      <c r="B3" s="200"/>
      <c r="C3" s="200"/>
      <c r="D3" s="200"/>
      <c r="E3" s="200"/>
      <c r="F3" s="200"/>
      <c r="G3" s="200"/>
      <c r="H3" s="34"/>
    </row>
    <row r="4" spans="1:9" ht="13">
      <c r="A4" s="33"/>
      <c r="B4" s="35"/>
      <c r="C4" s="36"/>
      <c r="D4" s="35"/>
      <c r="E4" s="36"/>
      <c r="F4" s="37"/>
      <c r="G4" s="35"/>
      <c r="H4" s="34"/>
    </row>
    <row r="5" spans="1:9" ht="15.5">
      <c r="A5" s="33" t="s">
        <v>44</v>
      </c>
      <c r="B5" s="200" t="s">
        <v>45</v>
      </c>
      <c r="C5" s="200"/>
      <c r="D5" s="200"/>
      <c r="E5" s="200"/>
      <c r="F5" s="200"/>
      <c r="G5" s="200"/>
      <c r="H5" s="34"/>
    </row>
    <row r="6" spans="1:9" ht="13">
      <c r="A6" s="33"/>
      <c r="B6" s="35"/>
      <c r="C6" s="36"/>
      <c r="D6" s="35"/>
      <c r="E6" s="36"/>
      <c r="F6" s="37"/>
      <c r="G6" s="35"/>
      <c r="H6" s="34"/>
    </row>
    <row r="7" spans="1:9" ht="13">
      <c r="A7" s="33" t="s">
        <v>46</v>
      </c>
      <c r="B7" s="38">
        <v>1</v>
      </c>
      <c r="C7" s="39" t="s">
        <v>47</v>
      </c>
      <c r="D7" s="201" t="s">
        <v>48</v>
      </c>
      <c r="E7" s="201"/>
      <c r="F7" s="201"/>
      <c r="G7" s="201"/>
      <c r="H7" s="34"/>
    </row>
    <row r="8" spans="1:9" ht="13">
      <c r="A8" s="33"/>
      <c r="B8" s="35"/>
      <c r="C8" s="36"/>
      <c r="D8" s="35"/>
      <c r="E8" s="36"/>
      <c r="F8" s="37"/>
      <c r="G8" s="35"/>
      <c r="H8" s="34"/>
    </row>
    <row r="9" spans="1:9" ht="14">
      <c r="A9" s="33" t="s">
        <v>49</v>
      </c>
      <c r="B9" s="202"/>
      <c r="C9" s="202"/>
      <c r="D9" s="202"/>
      <c r="E9" s="202"/>
      <c r="F9" s="202"/>
      <c r="G9" s="202"/>
      <c r="H9" s="40"/>
    </row>
    <row r="10" spans="1:9" ht="13">
      <c r="A10" s="33"/>
      <c r="B10" s="35"/>
      <c r="C10" s="35"/>
      <c r="D10" s="35"/>
      <c r="E10" s="36"/>
      <c r="F10" s="37"/>
      <c r="G10" s="35"/>
      <c r="H10" s="41"/>
    </row>
    <row r="11" spans="1:9" ht="13">
      <c r="A11" s="33" t="s">
        <v>50</v>
      </c>
      <c r="B11" s="42" t="s">
        <v>51</v>
      </c>
      <c r="C11" s="203" t="s">
        <v>52</v>
      </c>
      <c r="D11" s="203"/>
      <c r="E11" s="203"/>
      <c r="F11" s="203"/>
      <c r="G11" s="203"/>
      <c r="H11" s="43" t="s">
        <v>53</v>
      </c>
    </row>
    <row r="12" spans="1:9" ht="48" customHeight="1">
      <c r="A12" s="33"/>
      <c r="B12" s="44" t="str">
        <f>+'[1]Oferta Economica (2)'!A16</f>
        <v>1.1</v>
      </c>
      <c r="C12" s="204" t="s">
        <v>90</v>
      </c>
      <c r="D12" s="205"/>
      <c r="E12" s="205"/>
      <c r="F12" s="205"/>
      <c r="G12" s="206"/>
      <c r="H12" s="45" t="str">
        <f>+'[1]Oferta Economica (2)'!F16</f>
        <v>m2</v>
      </c>
      <c r="I12" s="78">
        <v>50</v>
      </c>
    </row>
    <row r="13" spans="1:9" ht="13" thickBot="1">
      <c r="A13" s="46"/>
      <c r="B13" s="47"/>
      <c r="C13" s="47"/>
      <c r="D13" s="47"/>
      <c r="E13" s="48"/>
      <c r="F13" s="49"/>
      <c r="G13" s="47"/>
      <c r="H13" s="50"/>
    </row>
    <row r="14" spans="1:9" ht="13.5" thickBot="1">
      <c r="A14" s="207" t="s">
        <v>38</v>
      </c>
      <c r="B14" s="208"/>
      <c r="C14" s="208"/>
      <c r="D14" s="208"/>
      <c r="E14" s="51" t="s">
        <v>11</v>
      </c>
      <c r="F14" s="52" t="s">
        <v>12</v>
      </c>
      <c r="G14" s="51" t="s">
        <v>55</v>
      </c>
      <c r="H14" s="76" t="s">
        <v>56</v>
      </c>
      <c r="I14" s="77" t="s">
        <v>86</v>
      </c>
    </row>
    <row r="15" spans="1:9" ht="13">
      <c r="A15" s="209" t="s">
        <v>57</v>
      </c>
      <c r="B15" s="210"/>
      <c r="C15" s="210"/>
      <c r="D15" s="210"/>
      <c r="E15" s="53"/>
      <c r="F15" s="54"/>
      <c r="G15" s="55"/>
      <c r="H15" s="56"/>
    </row>
    <row r="16" spans="1:9">
      <c r="A16" s="74" t="s">
        <v>102</v>
      </c>
      <c r="B16" s="72"/>
      <c r="C16" s="72"/>
      <c r="D16" s="73"/>
      <c r="E16" s="57" t="s">
        <v>100</v>
      </c>
      <c r="F16" s="58">
        <v>1.05</v>
      </c>
      <c r="G16" s="59">
        <v>18000</v>
      </c>
      <c r="H16" s="60">
        <f>+F16*G16</f>
        <v>18900</v>
      </c>
      <c r="I16" s="61">
        <f>+I$12*H16</f>
        <v>945000</v>
      </c>
    </row>
    <row r="17" spans="1:9">
      <c r="A17" s="74" t="s">
        <v>103</v>
      </c>
      <c r="B17" s="72"/>
      <c r="C17" s="72"/>
      <c r="D17" s="73"/>
      <c r="E17" s="57" t="s">
        <v>100</v>
      </c>
      <c r="F17" s="58">
        <v>0.2</v>
      </c>
      <c r="G17" s="59">
        <v>25000</v>
      </c>
      <c r="H17" s="60">
        <f t="shared" ref="H17:H28" si="0">+F17*G17</f>
        <v>5000</v>
      </c>
      <c r="I17" s="61">
        <f>+I$12*H17</f>
        <v>250000</v>
      </c>
    </row>
    <row r="18" spans="1:9">
      <c r="A18" s="74" t="s">
        <v>104</v>
      </c>
      <c r="B18" s="72"/>
      <c r="C18" s="72"/>
      <c r="D18" s="73"/>
      <c r="E18" s="57" t="s">
        <v>105</v>
      </c>
      <c r="F18" s="58">
        <v>3.5</v>
      </c>
      <c r="G18" s="59">
        <v>5500</v>
      </c>
      <c r="H18" s="60">
        <f t="shared" si="0"/>
        <v>19250</v>
      </c>
      <c r="I18" s="61">
        <f t="shared" ref="I18:I28" si="1">+I$12*H18</f>
        <v>962500</v>
      </c>
    </row>
    <row r="19" spans="1:9">
      <c r="A19" s="74" t="s">
        <v>106</v>
      </c>
      <c r="B19" s="72"/>
      <c r="C19" s="72"/>
      <c r="D19" s="73"/>
      <c r="E19" s="57" t="s">
        <v>95</v>
      </c>
      <c r="F19" s="58">
        <v>25</v>
      </c>
      <c r="G19" s="59">
        <v>50</v>
      </c>
      <c r="H19" s="60">
        <f t="shared" si="0"/>
        <v>1250</v>
      </c>
      <c r="I19" s="61">
        <f t="shared" si="1"/>
        <v>62500</v>
      </c>
    </row>
    <row r="20" spans="1:9">
      <c r="A20" s="74" t="s">
        <v>107</v>
      </c>
      <c r="B20" s="72"/>
      <c r="C20" s="72"/>
      <c r="D20" s="73"/>
      <c r="E20" s="57" t="s">
        <v>105</v>
      </c>
      <c r="F20" s="58">
        <v>1.5</v>
      </c>
      <c r="G20" s="59">
        <v>300</v>
      </c>
      <c r="H20" s="60">
        <f t="shared" si="0"/>
        <v>450</v>
      </c>
      <c r="I20" s="61">
        <f t="shared" si="1"/>
        <v>22500</v>
      </c>
    </row>
    <row r="21" spans="1:9">
      <c r="A21" s="74" t="s">
        <v>108</v>
      </c>
      <c r="B21" s="72"/>
      <c r="C21" s="72"/>
      <c r="D21" s="73"/>
      <c r="E21" s="57" t="s">
        <v>82</v>
      </c>
      <c r="F21" s="58">
        <v>1.5</v>
      </c>
      <c r="G21" s="59">
        <v>4500</v>
      </c>
      <c r="H21" s="60">
        <f t="shared" si="0"/>
        <v>6750</v>
      </c>
      <c r="I21" s="61">
        <f t="shared" si="1"/>
        <v>337500</v>
      </c>
    </row>
    <row r="22" spans="1:9">
      <c r="A22" s="74" t="s">
        <v>94</v>
      </c>
      <c r="B22" s="72"/>
      <c r="C22" s="72"/>
      <c r="D22" s="73"/>
      <c r="E22" s="57" t="s">
        <v>95</v>
      </c>
      <c r="F22" s="58">
        <v>0.05</v>
      </c>
      <c r="G22" s="59">
        <v>1500</v>
      </c>
      <c r="H22" s="60">
        <f t="shared" si="0"/>
        <v>75</v>
      </c>
      <c r="I22" s="61">
        <f t="shared" si="1"/>
        <v>3750</v>
      </c>
    </row>
    <row r="23" spans="1:9">
      <c r="A23" s="74" t="s">
        <v>109</v>
      </c>
      <c r="B23" s="72"/>
      <c r="C23" s="72"/>
      <c r="D23" s="73"/>
      <c r="E23" s="57" t="s">
        <v>97</v>
      </c>
      <c r="F23" s="58">
        <v>0.03</v>
      </c>
      <c r="G23" s="59">
        <v>40000</v>
      </c>
      <c r="H23" s="60">
        <f t="shared" si="0"/>
        <v>1200</v>
      </c>
      <c r="I23" s="61">
        <f t="shared" si="1"/>
        <v>60000</v>
      </c>
    </row>
    <row r="24" spans="1:9">
      <c r="A24" s="74" t="s">
        <v>110</v>
      </c>
      <c r="B24" s="72"/>
      <c r="C24" s="72"/>
      <c r="D24" s="73"/>
      <c r="E24" s="57" t="s">
        <v>97</v>
      </c>
      <c r="F24" s="58">
        <v>0.1</v>
      </c>
      <c r="G24" s="59">
        <v>55000</v>
      </c>
      <c r="H24" s="60">
        <f t="shared" si="0"/>
        <v>5500</v>
      </c>
      <c r="I24" s="61">
        <f t="shared" si="1"/>
        <v>275000</v>
      </c>
    </row>
    <row r="25" spans="1:9">
      <c r="A25" s="74" t="s">
        <v>111</v>
      </c>
      <c r="B25" s="72"/>
      <c r="C25" s="72"/>
      <c r="D25" s="73"/>
      <c r="E25" s="57" t="s">
        <v>105</v>
      </c>
      <c r="F25" s="58">
        <v>1.2</v>
      </c>
      <c r="G25" s="59">
        <v>4000</v>
      </c>
      <c r="H25" s="60">
        <f t="shared" si="0"/>
        <v>4800</v>
      </c>
      <c r="I25" s="61">
        <f t="shared" si="1"/>
        <v>240000</v>
      </c>
    </row>
    <row r="26" spans="1:9">
      <c r="A26" s="74" t="s">
        <v>112</v>
      </c>
      <c r="B26" s="72"/>
      <c r="C26" s="72"/>
      <c r="D26" s="73"/>
      <c r="E26" s="57" t="s">
        <v>105</v>
      </c>
      <c r="F26" s="58">
        <v>2</v>
      </c>
      <c r="G26" s="59">
        <v>2500</v>
      </c>
      <c r="H26" s="60">
        <f t="shared" si="0"/>
        <v>5000</v>
      </c>
      <c r="I26" s="61">
        <f t="shared" si="1"/>
        <v>250000</v>
      </c>
    </row>
    <row r="27" spans="1:9">
      <c r="A27" s="74" t="s">
        <v>113</v>
      </c>
      <c r="B27" s="72"/>
      <c r="C27" s="72"/>
      <c r="D27" s="73"/>
      <c r="E27" s="57" t="s">
        <v>95</v>
      </c>
      <c r="F27" s="58">
        <v>0.2</v>
      </c>
      <c r="G27" s="59">
        <v>45000</v>
      </c>
      <c r="H27" s="60">
        <f t="shared" si="0"/>
        <v>9000</v>
      </c>
      <c r="I27" s="61">
        <f t="shared" si="1"/>
        <v>450000</v>
      </c>
    </row>
    <row r="28" spans="1:9">
      <c r="A28" s="74" t="s">
        <v>114</v>
      </c>
      <c r="B28" s="72"/>
      <c r="C28" s="72"/>
      <c r="D28" s="73"/>
      <c r="E28" s="57" t="s">
        <v>115</v>
      </c>
      <c r="F28" s="58">
        <v>1</v>
      </c>
      <c r="G28" s="59">
        <v>2000</v>
      </c>
      <c r="H28" s="60">
        <f t="shared" si="0"/>
        <v>2000</v>
      </c>
      <c r="I28" s="61">
        <f t="shared" si="1"/>
        <v>100000</v>
      </c>
    </row>
    <row r="29" spans="1:9">
      <c r="A29" s="74"/>
      <c r="B29" s="72"/>
      <c r="C29" s="72"/>
      <c r="D29" s="73"/>
      <c r="E29" s="57"/>
      <c r="F29" s="58"/>
      <c r="G29" s="59"/>
      <c r="H29" s="60"/>
      <c r="I29" s="61"/>
    </row>
    <row r="30" spans="1:9">
      <c r="A30" s="74"/>
      <c r="B30" s="72"/>
      <c r="C30" s="72"/>
      <c r="D30" s="73"/>
      <c r="E30" s="57"/>
      <c r="F30" s="58"/>
      <c r="G30" s="59"/>
      <c r="H30" s="60"/>
      <c r="I30" s="61"/>
    </row>
    <row r="31" spans="1:9" ht="13">
      <c r="A31" s="194"/>
      <c r="B31" s="195"/>
      <c r="C31" s="195"/>
      <c r="D31" s="196"/>
      <c r="E31" s="57"/>
      <c r="F31" s="58"/>
      <c r="G31" s="59"/>
      <c r="H31" s="75">
        <f>+SUM(H16:H30)</f>
        <v>79175</v>
      </c>
      <c r="I31" s="75">
        <f>+SUM(I16:I30)</f>
        <v>3958750</v>
      </c>
    </row>
    <row r="32" spans="1:9" ht="13">
      <c r="A32" s="209" t="s">
        <v>60</v>
      </c>
      <c r="B32" s="210"/>
      <c r="C32" s="210"/>
      <c r="D32" s="210"/>
      <c r="E32" s="65"/>
      <c r="F32" s="66"/>
      <c r="G32" s="55"/>
      <c r="H32" s="56"/>
    </row>
    <row r="33" spans="1:9">
      <c r="A33" s="211" t="s">
        <v>61</v>
      </c>
      <c r="B33" s="212"/>
      <c r="C33" s="212"/>
      <c r="D33" s="212"/>
      <c r="E33" s="57" t="s">
        <v>3</v>
      </c>
      <c r="F33" s="62">
        <v>1</v>
      </c>
      <c r="G33" s="59">
        <v>5000</v>
      </c>
      <c r="H33" s="60">
        <f>+G33*F33</f>
        <v>5000</v>
      </c>
      <c r="I33" s="61">
        <f>+G33*I12</f>
        <v>250000</v>
      </c>
    </row>
    <row r="34" spans="1:9" ht="13">
      <c r="A34" s="67"/>
      <c r="B34" s="47"/>
      <c r="C34" s="47"/>
      <c r="D34" s="47"/>
      <c r="E34" s="48"/>
      <c r="F34" s="63"/>
      <c r="G34" s="39"/>
      <c r="H34" s="75">
        <f>+SUM(H33:H33)</f>
        <v>5000</v>
      </c>
      <c r="I34" s="75">
        <f>+SUM(I33:I33)</f>
        <v>250000</v>
      </c>
    </row>
    <row r="35" spans="1:9" ht="13">
      <c r="A35" s="209" t="s">
        <v>62</v>
      </c>
      <c r="B35" s="210"/>
      <c r="C35" s="210"/>
      <c r="D35" s="210"/>
      <c r="E35" s="65"/>
      <c r="F35" s="66"/>
      <c r="G35" s="55"/>
      <c r="H35" s="56"/>
    </row>
    <row r="36" spans="1:9">
      <c r="A36" s="211"/>
      <c r="B36" s="212"/>
      <c r="C36" s="212"/>
      <c r="D36" s="212"/>
      <c r="E36" s="57"/>
      <c r="F36" s="62"/>
      <c r="G36" s="59"/>
      <c r="H36" s="60"/>
    </row>
    <row r="37" spans="1:9">
      <c r="A37" s="213"/>
      <c r="B37" s="214"/>
      <c r="C37" s="214"/>
      <c r="D37" s="214"/>
      <c r="E37" s="57"/>
      <c r="F37" s="62"/>
      <c r="G37" s="59"/>
      <c r="H37" s="60">
        <f>+G37*F37</f>
        <v>0</v>
      </c>
    </row>
    <row r="38" spans="1:9" ht="13">
      <c r="A38" s="67"/>
      <c r="B38" s="47"/>
      <c r="C38" s="47"/>
      <c r="D38" s="47"/>
      <c r="E38" s="48"/>
      <c r="F38" s="63"/>
      <c r="G38" s="39"/>
      <c r="H38" s="75">
        <f>+SUM(H36:H37)</f>
        <v>0</v>
      </c>
      <c r="I38" s="75">
        <f>+SUM(I37:I37)</f>
        <v>0</v>
      </c>
    </row>
    <row r="39" spans="1:9" ht="13">
      <c r="A39" s="209" t="s">
        <v>63</v>
      </c>
      <c r="B39" s="210"/>
      <c r="C39" s="210"/>
      <c r="D39" s="210"/>
      <c r="E39" s="65" t="s">
        <v>11</v>
      </c>
      <c r="F39" s="65" t="s">
        <v>64</v>
      </c>
      <c r="G39" s="65" t="s">
        <v>55</v>
      </c>
      <c r="H39" s="65" t="s">
        <v>56</v>
      </c>
    </row>
    <row r="40" spans="1:9">
      <c r="A40" s="211" t="s">
        <v>87</v>
      </c>
      <c r="B40" s="212"/>
      <c r="C40" s="212"/>
      <c r="D40" s="212"/>
      <c r="E40" s="57" t="s">
        <v>65</v>
      </c>
      <c r="F40" s="62">
        <v>8.8999999999999996E-2</v>
      </c>
      <c r="G40" s="59">
        <v>180000</v>
      </c>
      <c r="H40" s="60">
        <f>+G40*F40</f>
        <v>16020</v>
      </c>
      <c r="I40" s="61">
        <f t="shared" ref="I40:I41" si="2">+I$12*H40</f>
        <v>801000</v>
      </c>
    </row>
    <row r="41" spans="1:9">
      <c r="A41" s="211" t="s">
        <v>85</v>
      </c>
      <c r="B41" s="212"/>
      <c r="C41" s="212"/>
      <c r="D41" s="212"/>
      <c r="E41" s="57" t="s">
        <v>65</v>
      </c>
      <c r="F41" s="62">
        <v>0.08</v>
      </c>
      <c r="G41" s="59">
        <v>180000</v>
      </c>
      <c r="H41" s="60">
        <f>+G41*F41</f>
        <v>14400</v>
      </c>
      <c r="I41" s="61">
        <f t="shared" si="2"/>
        <v>720000</v>
      </c>
    </row>
    <row r="42" spans="1:9">
      <c r="A42" s="211"/>
      <c r="B42" s="212"/>
      <c r="C42" s="212"/>
      <c r="D42" s="212"/>
      <c r="E42" s="57"/>
      <c r="F42" s="62"/>
      <c r="G42" s="59"/>
      <c r="H42" s="60">
        <f>+G42*F42</f>
        <v>0</v>
      </c>
      <c r="I42" s="61">
        <f>+H42*I12</f>
        <v>0</v>
      </c>
    </row>
    <row r="43" spans="1:9">
      <c r="A43" s="213"/>
      <c r="B43" s="214"/>
      <c r="C43" s="214"/>
      <c r="D43" s="214"/>
      <c r="E43" s="57"/>
      <c r="F43" s="62"/>
      <c r="G43" s="59"/>
      <c r="H43" s="60">
        <f t="shared" ref="H43" si="3">+G43*F43</f>
        <v>0</v>
      </c>
    </row>
    <row r="44" spans="1:9" ht="13">
      <c r="A44" s="67"/>
      <c r="B44" s="47"/>
      <c r="C44" s="47"/>
      <c r="D44" s="47"/>
      <c r="E44" s="48"/>
      <c r="F44" s="49"/>
      <c r="G44" s="39" t="s">
        <v>66</v>
      </c>
      <c r="H44" s="75">
        <f>+SUM(H40:H43)</f>
        <v>30420</v>
      </c>
      <c r="I44" s="75">
        <f>+SUM(I40:I43)</f>
        <v>1521000</v>
      </c>
    </row>
    <row r="45" spans="1:9" ht="13">
      <c r="A45" s="209" t="s">
        <v>67</v>
      </c>
      <c r="B45" s="210"/>
      <c r="C45" s="210"/>
      <c r="D45" s="210"/>
      <c r="E45" s="65"/>
      <c r="F45" s="66"/>
      <c r="G45" s="55"/>
      <c r="H45" s="56"/>
    </row>
    <row r="46" spans="1:9">
      <c r="A46" s="213"/>
      <c r="B46" s="214"/>
      <c r="C46" s="214"/>
      <c r="D46" s="214"/>
      <c r="E46" s="57"/>
      <c r="F46" s="62"/>
      <c r="G46" s="59"/>
      <c r="H46" s="60">
        <f>+G46*F46</f>
        <v>0</v>
      </c>
    </row>
    <row r="47" spans="1:9">
      <c r="A47" s="213"/>
      <c r="B47" s="214"/>
      <c r="C47" s="214"/>
      <c r="D47" s="214"/>
      <c r="E47" s="57"/>
      <c r="F47" s="62"/>
      <c r="G47" s="59"/>
      <c r="H47" s="60">
        <f>+G47*F47</f>
        <v>0</v>
      </c>
    </row>
    <row r="48" spans="1:9">
      <c r="A48" s="213"/>
      <c r="B48" s="214"/>
      <c r="C48" s="214"/>
      <c r="D48" s="214"/>
      <c r="E48" s="57"/>
      <c r="F48" s="62"/>
      <c r="G48" s="59"/>
      <c r="H48" s="60">
        <f>+G48*F48</f>
        <v>0</v>
      </c>
    </row>
    <row r="49" spans="1:9" ht="13">
      <c r="A49" s="67"/>
      <c r="B49" s="47"/>
      <c r="C49" s="47"/>
      <c r="D49" s="47"/>
      <c r="E49" s="48"/>
      <c r="F49" s="63"/>
      <c r="G49" s="39" t="s">
        <v>68</v>
      </c>
      <c r="H49" s="75">
        <f>+SUM(H46:H48)</f>
        <v>0</v>
      </c>
      <c r="I49" s="75">
        <f>+SUM(I46:I48)</f>
        <v>0</v>
      </c>
    </row>
    <row r="50" spans="1:9" ht="13">
      <c r="A50" s="209" t="s">
        <v>69</v>
      </c>
      <c r="B50" s="210"/>
      <c r="C50" s="210"/>
      <c r="D50" s="210"/>
      <c r="E50" s="65"/>
      <c r="F50" s="66"/>
      <c r="G50" s="55"/>
      <c r="H50" s="56"/>
    </row>
    <row r="51" spans="1:9">
      <c r="A51" s="213"/>
      <c r="B51" s="214"/>
      <c r="C51" s="214"/>
      <c r="D51" s="214"/>
      <c r="E51" s="57"/>
      <c r="F51" s="62"/>
      <c r="G51" s="59"/>
      <c r="H51" s="60">
        <f t="shared" ref="H51:H56" si="4">+G51*F51</f>
        <v>0</v>
      </c>
    </row>
    <row r="52" spans="1:9">
      <c r="A52" s="213"/>
      <c r="B52" s="214"/>
      <c r="C52" s="214"/>
      <c r="D52" s="214"/>
      <c r="E52" s="57"/>
      <c r="F52" s="62"/>
      <c r="G52" s="59"/>
      <c r="H52" s="60">
        <f t="shared" si="4"/>
        <v>0</v>
      </c>
    </row>
    <row r="53" spans="1:9">
      <c r="A53" s="213"/>
      <c r="B53" s="214"/>
      <c r="C53" s="214"/>
      <c r="D53" s="214"/>
      <c r="E53" s="57"/>
      <c r="F53" s="62"/>
      <c r="G53" s="59"/>
      <c r="H53" s="60">
        <f t="shared" si="4"/>
        <v>0</v>
      </c>
    </row>
    <row r="54" spans="1:9">
      <c r="A54" s="213"/>
      <c r="B54" s="214"/>
      <c r="C54" s="214"/>
      <c r="D54" s="214"/>
      <c r="E54" s="57"/>
      <c r="F54" s="62"/>
      <c r="G54" s="59"/>
      <c r="H54" s="60">
        <f t="shared" si="4"/>
        <v>0</v>
      </c>
    </row>
    <row r="55" spans="1:9">
      <c r="A55" s="213"/>
      <c r="B55" s="214"/>
      <c r="C55" s="214"/>
      <c r="D55" s="214"/>
      <c r="E55" s="57"/>
      <c r="F55" s="62"/>
      <c r="G55" s="59"/>
      <c r="H55" s="60">
        <f t="shared" si="4"/>
        <v>0</v>
      </c>
    </row>
    <row r="56" spans="1:9">
      <c r="A56" s="213"/>
      <c r="B56" s="214"/>
      <c r="C56" s="214"/>
      <c r="D56" s="214"/>
      <c r="E56" s="57"/>
      <c r="F56" s="62"/>
      <c r="G56" s="59"/>
      <c r="H56" s="60">
        <f t="shared" si="4"/>
        <v>0</v>
      </c>
    </row>
    <row r="57" spans="1:9" ht="13.5" thickBot="1">
      <c r="A57" s="67"/>
      <c r="B57" s="47"/>
      <c r="C57" s="47"/>
      <c r="D57" s="47"/>
      <c r="E57" s="48"/>
      <c r="F57" s="49"/>
      <c r="G57" s="39" t="s">
        <v>70</v>
      </c>
      <c r="H57" s="75">
        <f>+SUM(H51:H56)</f>
        <v>0</v>
      </c>
      <c r="I57" s="75">
        <f>+SUM(I51:I56)</f>
        <v>0</v>
      </c>
    </row>
    <row r="58" spans="1:9" ht="18.5" thickBot="1">
      <c r="A58" s="215" t="s">
        <v>71</v>
      </c>
      <c r="B58" s="216"/>
      <c r="C58" s="216"/>
      <c r="D58" s="216"/>
      <c r="E58" s="216"/>
      <c r="F58" s="216"/>
      <c r="G58" s="217"/>
      <c r="H58" s="68">
        <f>+H31+H49+H34+H38+H57+H44</f>
        <v>114595</v>
      </c>
      <c r="I58" s="75">
        <f>+I44+I38+I34+I31+I49+I57</f>
        <v>5729750</v>
      </c>
    </row>
    <row r="59" spans="1:9" ht="18">
      <c r="A59" s="69"/>
      <c r="B59" s="69"/>
      <c r="C59" s="69"/>
      <c r="D59" s="69"/>
      <c r="E59" s="69"/>
      <c r="F59" s="69"/>
      <c r="G59" s="69" t="s">
        <v>72</v>
      </c>
      <c r="H59" s="70">
        <f>+H58*0.12</f>
        <v>13751.4</v>
      </c>
    </row>
    <row r="60" spans="1:9" ht="18">
      <c r="A60" s="69"/>
      <c r="B60" s="69"/>
      <c r="C60" s="69"/>
      <c r="D60" s="69"/>
      <c r="E60" s="69"/>
      <c r="F60" s="69"/>
      <c r="G60" s="69" t="s">
        <v>73</v>
      </c>
      <c r="H60" s="70">
        <f>+H58*0.03</f>
        <v>3437.85</v>
      </c>
    </row>
    <row r="61" spans="1:9" ht="18">
      <c r="A61" s="69"/>
      <c r="B61" s="69"/>
      <c r="C61" s="69"/>
      <c r="D61" s="69"/>
      <c r="E61" s="69"/>
      <c r="F61" s="69"/>
      <c r="G61" s="69" t="s">
        <v>74</v>
      </c>
      <c r="H61" s="70">
        <f>+H58*0.04</f>
        <v>4583.8</v>
      </c>
    </row>
    <row r="62" spans="1:9" ht="13" thickBot="1">
      <c r="G62" s="26" t="s">
        <v>75</v>
      </c>
      <c r="H62" s="26">
        <f>+H61*0.19</f>
        <v>870.92200000000003</v>
      </c>
    </row>
    <row r="63" spans="1:9" ht="18.5" thickBot="1">
      <c r="A63" s="215" t="s">
        <v>76</v>
      </c>
      <c r="B63" s="216"/>
      <c r="C63" s="216"/>
      <c r="D63" s="216"/>
      <c r="E63" s="216"/>
      <c r="F63" s="216"/>
      <c r="G63" s="217"/>
      <c r="H63" s="71">
        <f>+H59+H60+H61+H62</f>
        <v>22643.971999999998</v>
      </c>
    </row>
    <row r="64" spans="1:9" ht="13" thickBot="1"/>
    <row r="65" spans="1:8" ht="18.5" thickBot="1">
      <c r="A65" s="215" t="s">
        <v>77</v>
      </c>
      <c r="B65" s="216"/>
      <c r="C65" s="216"/>
      <c r="D65" s="216"/>
      <c r="E65" s="216"/>
      <c r="F65" s="216"/>
      <c r="G65" s="217"/>
      <c r="H65" s="70">
        <f>+H63+H58</f>
        <v>137238.97200000001</v>
      </c>
    </row>
  </sheetData>
  <mergeCells count="34">
    <mergeCell ref="A55:D55"/>
    <mergeCell ref="A56:D56"/>
    <mergeCell ref="A58:G58"/>
    <mergeCell ref="A63:G63"/>
    <mergeCell ref="A65:G65"/>
    <mergeCell ref="A54:D54"/>
    <mergeCell ref="A41:D41"/>
    <mergeCell ref="A42:D42"/>
    <mergeCell ref="A43:D43"/>
    <mergeCell ref="A45:D45"/>
    <mergeCell ref="A46:D46"/>
    <mergeCell ref="A47:D47"/>
    <mergeCell ref="A48:D48"/>
    <mergeCell ref="A50:D50"/>
    <mergeCell ref="A51:D51"/>
    <mergeCell ref="A52:D52"/>
    <mergeCell ref="A53:D53"/>
    <mergeCell ref="A40:D40"/>
    <mergeCell ref="C12:G12"/>
    <mergeCell ref="A14:D14"/>
    <mergeCell ref="A15:D15"/>
    <mergeCell ref="A31:D31"/>
    <mergeCell ref="A32:D32"/>
    <mergeCell ref="A33:D33"/>
    <mergeCell ref="A35:D35"/>
    <mergeCell ref="A36:D36"/>
    <mergeCell ref="A37:D37"/>
    <mergeCell ref="A39:D39"/>
    <mergeCell ref="C11:G11"/>
    <mergeCell ref="A1:H1"/>
    <mergeCell ref="B3:G3"/>
    <mergeCell ref="B5:G5"/>
    <mergeCell ref="D7:G7"/>
    <mergeCell ref="B9:G9"/>
  </mergeCells>
  <pageMargins left="0.70866141732283472" right="0.70866141732283472" top="0.74803149606299213" bottom="0.74803149606299213" header="0.31496062992125984" footer="0.31496062992125984"/>
  <pageSetup scale="7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C000"/>
  </sheetPr>
  <dimension ref="A1:I65"/>
  <sheetViews>
    <sheetView workbookViewId="0">
      <selection activeCell="H29" sqref="H29"/>
    </sheetView>
  </sheetViews>
  <sheetFormatPr baseColWidth="10" defaultColWidth="11.453125" defaultRowHeight="12.5"/>
  <cols>
    <col min="1" max="1" width="26.7265625" style="26" bestFit="1" customWidth="1"/>
    <col min="2" max="2" width="5.453125" style="26" bestFit="1" customWidth="1"/>
    <col min="3" max="3" width="8.7265625" style="26" bestFit="1" customWidth="1"/>
    <col min="4" max="4" width="19.1796875" style="26" customWidth="1"/>
    <col min="5" max="5" width="12.453125" style="26" customWidth="1"/>
    <col min="6" max="6" width="12.7265625" style="26" customWidth="1"/>
    <col min="7" max="7" width="13.54296875" style="26" customWidth="1"/>
    <col min="8" max="8" width="19.54296875" style="26" customWidth="1"/>
    <col min="9" max="9" width="16.1796875" style="26" bestFit="1" customWidth="1"/>
    <col min="10" max="16384" width="11.453125" style="26"/>
  </cols>
  <sheetData>
    <row r="1" spans="1:9" ht="23.5" thickBot="1">
      <c r="A1" s="197" t="s">
        <v>42</v>
      </c>
      <c r="B1" s="198"/>
      <c r="C1" s="198"/>
      <c r="D1" s="198"/>
      <c r="E1" s="198"/>
      <c r="F1" s="198"/>
      <c r="G1" s="198"/>
      <c r="H1" s="199"/>
    </row>
    <row r="2" spans="1:9" ht="13">
      <c r="A2" s="27"/>
      <c r="B2" s="28"/>
      <c r="C2" s="28"/>
      <c r="D2" s="29"/>
      <c r="E2" s="29"/>
      <c r="F2" s="30"/>
      <c r="G2" s="31"/>
      <c r="H2" s="32"/>
    </row>
    <row r="3" spans="1:9" ht="15.5">
      <c r="A3" s="33" t="s">
        <v>43</v>
      </c>
      <c r="B3" s="200"/>
      <c r="C3" s="200"/>
      <c r="D3" s="200"/>
      <c r="E3" s="200"/>
      <c r="F3" s="200"/>
      <c r="G3" s="200"/>
      <c r="H3" s="34"/>
    </row>
    <row r="4" spans="1:9" ht="13">
      <c r="A4" s="33"/>
      <c r="B4" s="35"/>
      <c r="C4" s="36"/>
      <c r="D4" s="35"/>
      <c r="E4" s="36"/>
      <c r="F4" s="37"/>
      <c r="G4" s="35"/>
      <c r="H4" s="34"/>
    </row>
    <row r="5" spans="1:9" ht="15.5">
      <c r="A5" s="33" t="s">
        <v>44</v>
      </c>
      <c r="B5" s="200" t="s">
        <v>45</v>
      </c>
      <c r="C5" s="200"/>
      <c r="D5" s="200"/>
      <c r="E5" s="200"/>
      <c r="F5" s="200"/>
      <c r="G5" s="200"/>
      <c r="H5" s="34"/>
    </row>
    <row r="6" spans="1:9" ht="13">
      <c r="A6" s="33"/>
      <c r="B6" s="35"/>
      <c r="C6" s="36"/>
      <c r="D6" s="35"/>
      <c r="E6" s="36"/>
      <c r="F6" s="37"/>
      <c r="G6" s="35"/>
      <c r="H6" s="34"/>
    </row>
    <row r="7" spans="1:9" ht="13">
      <c r="A7" s="33" t="s">
        <v>46</v>
      </c>
      <c r="B7" s="38">
        <v>1</v>
      </c>
      <c r="C7" s="39" t="s">
        <v>47</v>
      </c>
      <c r="D7" s="201" t="s">
        <v>48</v>
      </c>
      <c r="E7" s="201"/>
      <c r="F7" s="201"/>
      <c r="G7" s="201"/>
      <c r="H7" s="34"/>
    </row>
    <row r="8" spans="1:9" ht="13">
      <c r="A8" s="33"/>
      <c r="B8" s="35"/>
      <c r="C8" s="36"/>
      <c r="D8" s="35"/>
      <c r="E8" s="36"/>
      <c r="F8" s="37"/>
      <c r="G8" s="35"/>
      <c r="H8" s="34"/>
    </row>
    <row r="9" spans="1:9" ht="14">
      <c r="A9" s="33" t="s">
        <v>49</v>
      </c>
      <c r="B9" s="202"/>
      <c r="C9" s="202"/>
      <c r="D9" s="202"/>
      <c r="E9" s="202"/>
      <c r="F9" s="202"/>
      <c r="G9" s="202"/>
      <c r="H9" s="40"/>
    </row>
    <row r="10" spans="1:9" ht="13">
      <c r="A10" s="33"/>
      <c r="B10" s="35"/>
      <c r="C10" s="35"/>
      <c r="D10" s="35"/>
      <c r="E10" s="36"/>
      <c r="F10" s="37"/>
      <c r="G10" s="35"/>
      <c r="H10" s="41"/>
    </row>
    <row r="11" spans="1:9" ht="13">
      <c r="A11" s="33" t="s">
        <v>50</v>
      </c>
      <c r="B11" s="42" t="s">
        <v>51</v>
      </c>
      <c r="C11" s="203" t="s">
        <v>52</v>
      </c>
      <c r="D11" s="203"/>
      <c r="E11" s="203"/>
      <c r="F11" s="203"/>
      <c r="G11" s="203"/>
      <c r="H11" s="43" t="s">
        <v>53</v>
      </c>
    </row>
    <row r="12" spans="1:9" ht="48" customHeight="1">
      <c r="A12" s="33"/>
      <c r="B12" s="44" t="str">
        <f>+'[1]Oferta Economica (2)'!A16</f>
        <v>1.1</v>
      </c>
      <c r="C12" s="204" t="s">
        <v>90</v>
      </c>
      <c r="D12" s="205"/>
      <c r="E12" s="205"/>
      <c r="F12" s="205"/>
      <c r="G12" s="206"/>
      <c r="H12" s="45" t="str">
        <f>+'[1]Oferta Economica (2)'!F16</f>
        <v>m2</v>
      </c>
      <c r="I12" s="78">
        <v>50</v>
      </c>
    </row>
    <row r="13" spans="1:9" ht="13" thickBot="1">
      <c r="A13" s="46"/>
      <c r="B13" s="47"/>
      <c r="C13" s="47"/>
      <c r="D13" s="47"/>
      <c r="E13" s="48"/>
      <c r="F13" s="49"/>
      <c r="G13" s="47"/>
      <c r="H13" s="50"/>
    </row>
    <row r="14" spans="1:9" ht="13.5" thickBot="1">
      <c r="A14" s="207" t="s">
        <v>38</v>
      </c>
      <c r="B14" s="208"/>
      <c r="C14" s="208"/>
      <c r="D14" s="208"/>
      <c r="E14" s="51" t="s">
        <v>11</v>
      </c>
      <c r="F14" s="52" t="s">
        <v>12</v>
      </c>
      <c r="G14" s="51" t="s">
        <v>55</v>
      </c>
      <c r="H14" s="76" t="s">
        <v>56</v>
      </c>
      <c r="I14" s="77" t="s">
        <v>86</v>
      </c>
    </row>
    <row r="15" spans="1:9" ht="13">
      <c r="A15" s="209" t="s">
        <v>57</v>
      </c>
      <c r="B15" s="210"/>
      <c r="C15" s="210"/>
      <c r="D15" s="210"/>
      <c r="E15" s="53"/>
      <c r="F15" s="54"/>
      <c r="G15" s="55"/>
      <c r="H15" s="56"/>
    </row>
    <row r="16" spans="1:9">
      <c r="A16" s="74" t="s">
        <v>102</v>
      </c>
      <c r="B16" s="72"/>
      <c r="C16" s="72"/>
      <c r="D16" s="73"/>
      <c r="E16" s="57" t="s">
        <v>100</v>
      </c>
      <c r="F16" s="58">
        <v>1.05</v>
      </c>
      <c r="G16" s="59">
        <v>18000</v>
      </c>
      <c r="H16" s="60">
        <f>+F16*G16</f>
        <v>18900</v>
      </c>
      <c r="I16" s="61">
        <f>+I$12*H16</f>
        <v>945000</v>
      </c>
    </row>
    <row r="17" spans="1:9">
      <c r="A17" s="74" t="s">
        <v>103</v>
      </c>
      <c r="B17" s="72"/>
      <c r="C17" s="72"/>
      <c r="D17" s="73"/>
      <c r="E17" s="57" t="s">
        <v>100</v>
      </c>
      <c r="F17" s="58">
        <v>0.2</v>
      </c>
      <c r="G17" s="59">
        <v>25000</v>
      </c>
      <c r="H17" s="60">
        <f t="shared" ref="H17:H28" si="0">+F17*G17</f>
        <v>5000</v>
      </c>
      <c r="I17" s="61">
        <f>+I$12*H17</f>
        <v>250000</v>
      </c>
    </row>
    <row r="18" spans="1:9">
      <c r="A18" s="74" t="s">
        <v>104</v>
      </c>
      <c r="B18" s="72"/>
      <c r="C18" s="72"/>
      <c r="D18" s="73"/>
      <c r="E18" s="57" t="s">
        <v>105</v>
      </c>
      <c r="F18" s="58">
        <v>3.5</v>
      </c>
      <c r="G18" s="59">
        <v>5500</v>
      </c>
      <c r="H18" s="60">
        <f t="shared" si="0"/>
        <v>19250</v>
      </c>
      <c r="I18" s="61">
        <f t="shared" ref="I18:I28" si="1">+I$12*H18</f>
        <v>962500</v>
      </c>
    </row>
    <row r="19" spans="1:9">
      <c r="A19" s="74" t="s">
        <v>106</v>
      </c>
      <c r="B19" s="72"/>
      <c r="C19" s="72"/>
      <c r="D19" s="73"/>
      <c r="E19" s="57" t="s">
        <v>95</v>
      </c>
      <c r="F19" s="58">
        <v>25</v>
      </c>
      <c r="G19" s="59">
        <v>50</v>
      </c>
      <c r="H19" s="60">
        <f t="shared" si="0"/>
        <v>1250</v>
      </c>
      <c r="I19" s="61">
        <f t="shared" si="1"/>
        <v>62500</v>
      </c>
    </row>
    <row r="20" spans="1:9">
      <c r="A20" s="74" t="s">
        <v>107</v>
      </c>
      <c r="B20" s="72"/>
      <c r="C20" s="72"/>
      <c r="D20" s="73"/>
      <c r="E20" s="57" t="s">
        <v>105</v>
      </c>
      <c r="F20" s="58">
        <v>1.5</v>
      </c>
      <c r="G20" s="59">
        <v>300</v>
      </c>
      <c r="H20" s="60">
        <f t="shared" si="0"/>
        <v>450</v>
      </c>
      <c r="I20" s="61">
        <f t="shared" si="1"/>
        <v>22500</v>
      </c>
    </row>
    <row r="21" spans="1:9">
      <c r="A21" s="74" t="s">
        <v>108</v>
      </c>
      <c r="B21" s="72"/>
      <c r="C21" s="72"/>
      <c r="D21" s="73"/>
      <c r="E21" s="57" t="s">
        <v>82</v>
      </c>
      <c r="F21" s="58">
        <v>1.5</v>
      </c>
      <c r="G21" s="59">
        <v>4500</v>
      </c>
      <c r="H21" s="60">
        <f t="shared" si="0"/>
        <v>6750</v>
      </c>
      <c r="I21" s="61">
        <f t="shared" si="1"/>
        <v>337500</v>
      </c>
    </row>
    <row r="22" spans="1:9">
      <c r="A22" s="74" t="s">
        <v>94</v>
      </c>
      <c r="B22" s="72"/>
      <c r="C22" s="72"/>
      <c r="D22" s="73"/>
      <c r="E22" s="57" t="s">
        <v>95</v>
      </c>
      <c r="F22" s="58">
        <v>0.05</v>
      </c>
      <c r="G22" s="59">
        <v>1500</v>
      </c>
      <c r="H22" s="60">
        <f t="shared" si="0"/>
        <v>75</v>
      </c>
      <c r="I22" s="61">
        <f t="shared" si="1"/>
        <v>3750</v>
      </c>
    </row>
    <row r="23" spans="1:9">
      <c r="A23" s="74" t="s">
        <v>109</v>
      </c>
      <c r="B23" s="72"/>
      <c r="C23" s="72"/>
      <c r="D23" s="73"/>
      <c r="E23" s="57" t="s">
        <v>97</v>
      </c>
      <c r="F23" s="58">
        <v>0.03</v>
      </c>
      <c r="G23" s="59">
        <v>40000</v>
      </c>
      <c r="H23" s="60">
        <f t="shared" si="0"/>
        <v>1200</v>
      </c>
      <c r="I23" s="61">
        <f t="shared" si="1"/>
        <v>60000</v>
      </c>
    </row>
    <row r="24" spans="1:9">
      <c r="A24" s="74" t="s">
        <v>110</v>
      </c>
      <c r="B24" s="72"/>
      <c r="C24" s="72"/>
      <c r="D24" s="73"/>
      <c r="E24" s="57" t="s">
        <v>97</v>
      </c>
      <c r="F24" s="58">
        <v>0.1</v>
      </c>
      <c r="G24" s="59">
        <v>55000</v>
      </c>
      <c r="H24" s="60">
        <f t="shared" si="0"/>
        <v>5500</v>
      </c>
      <c r="I24" s="61">
        <f t="shared" si="1"/>
        <v>275000</v>
      </c>
    </row>
    <row r="25" spans="1:9">
      <c r="A25" s="74" t="s">
        <v>111</v>
      </c>
      <c r="B25" s="72"/>
      <c r="C25" s="72"/>
      <c r="D25" s="73"/>
      <c r="E25" s="57" t="s">
        <v>105</v>
      </c>
      <c r="F25" s="58">
        <v>1.2</v>
      </c>
      <c r="G25" s="59">
        <v>4000</v>
      </c>
      <c r="H25" s="60">
        <f t="shared" si="0"/>
        <v>4800</v>
      </c>
      <c r="I25" s="61">
        <f t="shared" si="1"/>
        <v>240000</v>
      </c>
    </row>
    <row r="26" spans="1:9">
      <c r="A26" s="74" t="s">
        <v>112</v>
      </c>
      <c r="B26" s="72"/>
      <c r="C26" s="72"/>
      <c r="D26" s="73"/>
      <c r="E26" s="57" t="s">
        <v>105</v>
      </c>
      <c r="F26" s="58">
        <v>2</v>
      </c>
      <c r="G26" s="59">
        <v>2500</v>
      </c>
      <c r="H26" s="60">
        <f t="shared" si="0"/>
        <v>5000</v>
      </c>
      <c r="I26" s="61">
        <f t="shared" si="1"/>
        <v>250000</v>
      </c>
    </row>
    <row r="27" spans="1:9">
      <c r="A27" s="74" t="s">
        <v>113</v>
      </c>
      <c r="B27" s="72"/>
      <c r="C27" s="72"/>
      <c r="D27" s="73"/>
      <c r="E27" s="57" t="s">
        <v>95</v>
      </c>
      <c r="F27" s="58">
        <v>0.2</v>
      </c>
      <c r="G27" s="59">
        <v>45000</v>
      </c>
      <c r="H27" s="60">
        <f t="shared" si="0"/>
        <v>9000</v>
      </c>
      <c r="I27" s="61">
        <f t="shared" si="1"/>
        <v>450000</v>
      </c>
    </row>
    <row r="28" spans="1:9">
      <c r="A28" s="74" t="s">
        <v>114</v>
      </c>
      <c r="B28" s="72"/>
      <c r="C28" s="72"/>
      <c r="D28" s="73"/>
      <c r="E28" s="57" t="s">
        <v>115</v>
      </c>
      <c r="F28" s="58">
        <v>1</v>
      </c>
      <c r="G28" s="59">
        <v>2000</v>
      </c>
      <c r="H28" s="60">
        <f t="shared" si="0"/>
        <v>2000</v>
      </c>
      <c r="I28" s="61">
        <f t="shared" si="1"/>
        <v>100000</v>
      </c>
    </row>
    <row r="29" spans="1:9">
      <c r="A29" s="74"/>
      <c r="B29" s="72"/>
      <c r="C29" s="72"/>
      <c r="D29" s="73"/>
      <c r="E29" s="57"/>
      <c r="F29" s="58"/>
      <c r="G29" s="59"/>
      <c r="H29" s="60"/>
      <c r="I29" s="61"/>
    </row>
    <row r="30" spans="1:9">
      <c r="A30" s="74"/>
      <c r="B30" s="72"/>
      <c r="C30" s="72"/>
      <c r="D30" s="73"/>
      <c r="E30" s="57"/>
      <c r="F30" s="58"/>
      <c r="G30" s="59"/>
      <c r="H30" s="60"/>
      <c r="I30" s="61"/>
    </row>
    <row r="31" spans="1:9" ht="13">
      <c r="A31" s="194"/>
      <c r="B31" s="195"/>
      <c r="C31" s="195"/>
      <c r="D31" s="196"/>
      <c r="E31" s="57"/>
      <c r="F31" s="58"/>
      <c r="G31" s="59"/>
      <c r="H31" s="75">
        <f>+SUM(H16:H30)</f>
        <v>79175</v>
      </c>
      <c r="I31" s="75">
        <f>+SUM(I16:I30)</f>
        <v>3958750</v>
      </c>
    </row>
    <row r="32" spans="1:9" ht="13">
      <c r="A32" s="209" t="s">
        <v>60</v>
      </c>
      <c r="B32" s="210"/>
      <c r="C32" s="210"/>
      <c r="D32" s="210"/>
      <c r="E32" s="65"/>
      <c r="F32" s="66"/>
      <c r="G32" s="55"/>
      <c r="H32" s="56"/>
    </row>
    <row r="33" spans="1:9">
      <c r="A33" s="211" t="s">
        <v>61</v>
      </c>
      <c r="B33" s="212"/>
      <c r="C33" s="212"/>
      <c r="D33" s="212"/>
      <c r="E33" s="57" t="s">
        <v>3</v>
      </c>
      <c r="F33" s="62">
        <v>1</v>
      </c>
      <c r="G33" s="59">
        <v>5000</v>
      </c>
      <c r="H33" s="60">
        <f>+G33*F33</f>
        <v>5000</v>
      </c>
      <c r="I33" s="61">
        <f>+G33*I12</f>
        <v>250000</v>
      </c>
    </row>
    <row r="34" spans="1:9" ht="13">
      <c r="A34" s="67"/>
      <c r="B34" s="47"/>
      <c r="C34" s="47"/>
      <c r="D34" s="47"/>
      <c r="E34" s="48"/>
      <c r="F34" s="63"/>
      <c r="G34" s="39"/>
      <c r="H34" s="75">
        <f>+SUM(H33:H33)</f>
        <v>5000</v>
      </c>
      <c r="I34" s="75">
        <f>+SUM(I33:I33)</f>
        <v>250000</v>
      </c>
    </row>
    <row r="35" spans="1:9" ht="13">
      <c r="A35" s="209" t="s">
        <v>62</v>
      </c>
      <c r="B35" s="210"/>
      <c r="C35" s="210"/>
      <c r="D35" s="210"/>
      <c r="E35" s="65"/>
      <c r="F35" s="66"/>
      <c r="G35" s="55"/>
      <c r="H35" s="56"/>
    </row>
    <row r="36" spans="1:9">
      <c r="A36" s="211"/>
      <c r="B36" s="212"/>
      <c r="C36" s="212"/>
      <c r="D36" s="212"/>
      <c r="E36" s="57"/>
      <c r="F36" s="62"/>
      <c r="G36" s="59"/>
      <c r="H36" s="60"/>
    </row>
    <row r="37" spans="1:9">
      <c r="A37" s="213"/>
      <c r="B37" s="214"/>
      <c r="C37" s="214"/>
      <c r="D37" s="214"/>
      <c r="E37" s="57"/>
      <c r="F37" s="62"/>
      <c r="G37" s="59"/>
      <c r="H37" s="60">
        <f>+G37*F37</f>
        <v>0</v>
      </c>
    </row>
    <row r="38" spans="1:9" ht="13">
      <c r="A38" s="67"/>
      <c r="B38" s="47"/>
      <c r="C38" s="47"/>
      <c r="D38" s="47"/>
      <c r="E38" s="48"/>
      <c r="F38" s="63"/>
      <c r="G38" s="39"/>
      <c r="H38" s="75">
        <f>+SUM(H36:H37)</f>
        <v>0</v>
      </c>
      <c r="I38" s="75">
        <f>+SUM(I37:I37)</f>
        <v>0</v>
      </c>
    </row>
    <row r="39" spans="1:9" ht="13">
      <c r="A39" s="209" t="s">
        <v>63</v>
      </c>
      <c r="B39" s="210"/>
      <c r="C39" s="210"/>
      <c r="D39" s="210"/>
      <c r="E39" s="65" t="s">
        <v>11</v>
      </c>
      <c r="F39" s="65" t="s">
        <v>64</v>
      </c>
      <c r="G39" s="65" t="s">
        <v>55</v>
      </c>
      <c r="H39" s="65" t="s">
        <v>56</v>
      </c>
    </row>
    <row r="40" spans="1:9">
      <c r="A40" s="211" t="s">
        <v>87</v>
      </c>
      <c r="B40" s="212"/>
      <c r="C40" s="212"/>
      <c r="D40" s="212"/>
      <c r="E40" s="57" t="s">
        <v>65</v>
      </c>
      <c r="F40" s="62">
        <v>8.8999999999999996E-2</v>
      </c>
      <c r="G40" s="59">
        <v>180000</v>
      </c>
      <c r="H40" s="60">
        <f>+G40*F40</f>
        <v>16020</v>
      </c>
      <c r="I40" s="61">
        <f t="shared" ref="I40:I41" si="2">+I$12*H40</f>
        <v>801000</v>
      </c>
    </row>
    <row r="41" spans="1:9">
      <c r="A41" s="211" t="s">
        <v>85</v>
      </c>
      <c r="B41" s="212"/>
      <c r="C41" s="212"/>
      <c r="D41" s="212"/>
      <c r="E41" s="57" t="s">
        <v>65</v>
      </c>
      <c r="F41" s="62">
        <v>0.08</v>
      </c>
      <c r="G41" s="59">
        <v>180000</v>
      </c>
      <c r="H41" s="60">
        <f>+G41*F41</f>
        <v>14400</v>
      </c>
      <c r="I41" s="61">
        <f t="shared" si="2"/>
        <v>720000</v>
      </c>
    </row>
    <row r="42" spans="1:9">
      <c r="A42" s="211"/>
      <c r="B42" s="212"/>
      <c r="C42" s="212"/>
      <c r="D42" s="212"/>
      <c r="E42" s="57"/>
      <c r="F42" s="62"/>
      <c r="G42" s="59"/>
      <c r="H42" s="60">
        <f>+G42*F42</f>
        <v>0</v>
      </c>
      <c r="I42" s="61">
        <f>+H42*I12</f>
        <v>0</v>
      </c>
    </row>
    <row r="43" spans="1:9">
      <c r="A43" s="213"/>
      <c r="B43" s="214"/>
      <c r="C43" s="214"/>
      <c r="D43" s="214"/>
      <c r="E43" s="57"/>
      <c r="F43" s="62"/>
      <c r="G43" s="59"/>
      <c r="H43" s="60">
        <f t="shared" ref="H43" si="3">+G43*F43</f>
        <v>0</v>
      </c>
    </row>
    <row r="44" spans="1:9" ht="13">
      <c r="A44" s="67"/>
      <c r="B44" s="47"/>
      <c r="C44" s="47"/>
      <c r="D44" s="47"/>
      <c r="E44" s="48"/>
      <c r="F44" s="49"/>
      <c r="G44" s="39" t="s">
        <v>66</v>
      </c>
      <c r="H44" s="75">
        <f>+SUM(H40:H43)</f>
        <v>30420</v>
      </c>
      <c r="I44" s="75">
        <f>+SUM(I40:I43)</f>
        <v>1521000</v>
      </c>
    </row>
    <row r="45" spans="1:9" ht="13">
      <c r="A45" s="209" t="s">
        <v>67</v>
      </c>
      <c r="B45" s="210"/>
      <c r="C45" s="210"/>
      <c r="D45" s="210"/>
      <c r="E45" s="65"/>
      <c r="F45" s="66"/>
      <c r="G45" s="55"/>
      <c r="H45" s="56"/>
    </row>
    <row r="46" spans="1:9">
      <c r="A46" s="213"/>
      <c r="B46" s="214"/>
      <c r="C46" s="214"/>
      <c r="D46" s="214"/>
      <c r="E46" s="57"/>
      <c r="F46" s="62"/>
      <c r="G46" s="59"/>
      <c r="H46" s="60">
        <f>+G46*F46</f>
        <v>0</v>
      </c>
    </row>
    <row r="47" spans="1:9">
      <c r="A47" s="213"/>
      <c r="B47" s="214"/>
      <c r="C47" s="214"/>
      <c r="D47" s="214"/>
      <c r="E47" s="57"/>
      <c r="F47" s="62"/>
      <c r="G47" s="59"/>
      <c r="H47" s="60">
        <f>+G47*F47</f>
        <v>0</v>
      </c>
    </row>
    <row r="48" spans="1:9">
      <c r="A48" s="213"/>
      <c r="B48" s="214"/>
      <c r="C48" s="214"/>
      <c r="D48" s="214"/>
      <c r="E48" s="57"/>
      <c r="F48" s="62"/>
      <c r="G48" s="59"/>
      <c r="H48" s="60">
        <f>+G48*F48</f>
        <v>0</v>
      </c>
    </row>
    <row r="49" spans="1:9" ht="13">
      <c r="A49" s="67"/>
      <c r="B49" s="47"/>
      <c r="C49" s="47"/>
      <c r="D49" s="47"/>
      <c r="E49" s="48"/>
      <c r="F49" s="63"/>
      <c r="G49" s="39" t="s">
        <v>68</v>
      </c>
      <c r="H49" s="75">
        <f>+SUM(H46:H48)</f>
        <v>0</v>
      </c>
      <c r="I49" s="75">
        <f>+SUM(I46:I48)</f>
        <v>0</v>
      </c>
    </row>
    <row r="50" spans="1:9" ht="13">
      <c r="A50" s="209" t="s">
        <v>69</v>
      </c>
      <c r="B50" s="210"/>
      <c r="C50" s="210"/>
      <c r="D50" s="210"/>
      <c r="E50" s="65"/>
      <c r="F50" s="66"/>
      <c r="G50" s="55"/>
      <c r="H50" s="56"/>
    </row>
    <row r="51" spans="1:9">
      <c r="A51" s="213"/>
      <c r="B51" s="214"/>
      <c r="C51" s="214"/>
      <c r="D51" s="214"/>
      <c r="E51" s="57"/>
      <c r="F51" s="62"/>
      <c r="G51" s="59"/>
      <c r="H51" s="60">
        <f t="shared" ref="H51:H56" si="4">+G51*F51</f>
        <v>0</v>
      </c>
    </row>
    <row r="52" spans="1:9">
      <c r="A52" s="213"/>
      <c r="B52" s="214"/>
      <c r="C52" s="214"/>
      <c r="D52" s="214"/>
      <c r="E52" s="57"/>
      <c r="F52" s="62"/>
      <c r="G52" s="59"/>
      <c r="H52" s="60">
        <f t="shared" si="4"/>
        <v>0</v>
      </c>
    </row>
    <row r="53" spans="1:9">
      <c r="A53" s="213"/>
      <c r="B53" s="214"/>
      <c r="C53" s="214"/>
      <c r="D53" s="214"/>
      <c r="E53" s="57"/>
      <c r="F53" s="62"/>
      <c r="G53" s="59"/>
      <c r="H53" s="60">
        <f t="shared" si="4"/>
        <v>0</v>
      </c>
    </row>
    <row r="54" spans="1:9">
      <c r="A54" s="213"/>
      <c r="B54" s="214"/>
      <c r="C54" s="214"/>
      <c r="D54" s="214"/>
      <c r="E54" s="57"/>
      <c r="F54" s="62"/>
      <c r="G54" s="59"/>
      <c r="H54" s="60">
        <f t="shared" si="4"/>
        <v>0</v>
      </c>
    </row>
    <row r="55" spans="1:9">
      <c r="A55" s="213"/>
      <c r="B55" s="214"/>
      <c r="C55" s="214"/>
      <c r="D55" s="214"/>
      <c r="E55" s="57"/>
      <c r="F55" s="62"/>
      <c r="G55" s="59"/>
      <c r="H55" s="60">
        <f t="shared" si="4"/>
        <v>0</v>
      </c>
    </row>
    <row r="56" spans="1:9">
      <c r="A56" s="213"/>
      <c r="B56" s="214"/>
      <c r="C56" s="214"/>
      <c r="D56" s="214"/>
      <c r="E56" s="57"/>
      <c r="F56" s="62"/>
      <c r="G56" s="59"/>
      <c r="H56" s="60">
        <f t="shared" si="4"/>
        <v>0</v>
      </c>
    </row>
    <row r="57" spans="1:9" ht="13.5" thickBot="1">
      <c r="A57" s="67"/>
      <c r="B57" s="47"/>
      <c r="C57" s="47"/>
      <c r="D57" s="47"/>
      <c r="E57" s="48"/>
      <c r="F57" s="49"/>
      <c r="G57" s="39" t="s">
        <v>70</v>
      </c>
      <c r="H57" s="75">
        <f>+SUM(H51:H56)</f>
        <v>0</v>
      </c>
      <c r="I57" s="75">
        <f>+SUM(I51:I56)</f>
        <v>0</v>
      </c>
    </row>
    <row r="58" spans="1:9" ht="18.5" thickBot="1">
      <c r="A58" s="215" t="s">
        <v>71</v>
      </c>
      <c r="B58" s="216"/>
      <c r="C58" s="216"/>
      <c r="D58" s="216"/>
      <c r="E58" s="216"/>
      <c r="F58" s="216"/>
      <c r="G58" s="217"/>
      <c r="H58" s="68">
        <f>+H31+H49+H34+H38+H57+H44</f>
        <v>114595</v>
      </c>
      <c r="I58" s="75">
        <f>+I44+I38+I34+I31+I49+I57</f>
        <v>5729750</v>
      </c>
    </row>
    <row r="59" spans="1:9" ht="18">
      <c r="A59" s="69"/>
      <c r="B59" s="69"/>
      <c r="C59" s="69"/>
      <c r="D59" s="69"/>
      <c r="E59" s="69"/>
      <c r="F59" s="69"/>
      <c r="G59" s="69" t="s">
        <v>72</v>
      </c>
      <c r="H59" s="70">
        <f>+H58*0.12</f>
        <v>13751.4</v>
      </c>
    </row>
    <row r="60" spans="1:9" ht="18">
      <c r="A60" s="69"/>
      <c r="B60" s="69"/>
      <c r="C60" s="69"/>
      <c r="D60" s="69"/>
      <c r="E60" s="69"/>
      <c r="F60" s="69"/>
      <c r="G60" s="69" t="s">
        <v>73</v>
      </c>
      <c r="H60" s="70">
        <f>+H58*0.03</f>
        <v>3437.85</v>
      </c>
    </row>
    <row r="61" spans="1:9" ht="18">
      <c r="A61" s="69"/>
      <c r="B61" s="69"/>
      <c r="C61" s="69"/>
      <c r="D61" s="69"/>
      <c r="E61" s="69"/>
      <c r="F61" s="69"/>
      <c r="G61" s="69" t="s">
        <v>74</v>
      </c>
      <c r="H61" s="70">
        <f>+H58*0.04</f>
        <v>4583.8</v>
      </c>
    </row>
    <row r="62" spans="1:9" ht="13" thickBot="1">
      <c r="G62" s="26" t="s">
        <v>75</v>
      </c>
      <c r="H62" s="26">
        <f>+H61*0.19</f>
        <v>870.92200000000003</v>
      </c>
    </row>
    <row r="63" spans="1:9" ht="18.5" thickBot="1">
      <c r="A63" s="215" t="s">
        <v>76</v>
      </c>
      <c r="B63" s="216"/>
      <c r="C63" s="216"/>
      <c r="D63" s="216"/>
      <c r="E63" s="216"/>
      <c r="F63" s="216"/>
      <c r="G63" s="217"/>
      <c r="H63" s="71">
        <f>+H59+H60+H61+H62</f>
        <v>22643.971999999998</v>
      </c>
    </row>
    <row r="64" spans="1:9" ht="13" thickBot="1"/>
    <row r="65" spans="1:8" ht="18.5" thickBot="1">
      <c r="A65" s="215" t="s">
        <v>77</v>
      </c>
      <c r="B65" s="216"/>
      <c r="C65" s="216"/>
      <c r="D65" s="216"/>
      <c r="E65" s="216"/>
      <c r="F65" s="216"/>
      <c r="G65" s="217"/>
      <c r="H65" s="70">
        <f>+H63+H58</f>
        <v>137238.97200000001</v>
      </c>
    </row>
  </sheetData>
  <mergeCells count="34">
    <mergeCell ref="A56:D56"/>
    <mergeCell ref="A58:G58"/>
    <mergeCell ref="A63:G63"/>
    <mergeCell ref="A65:G65"/>
    <mergeCell ref="A50:D50"/>
    <mergeCell ref="A51:D51"/>
    <mergeCell ref="A52:D52"/>
    <mergeCell ref="A53:D53"/>
    <mergeCell ref="A54:D54"/>
    <mergeCell ref="A55:D55"/>
    <mergeCell ref="A48:D48"/>
    <mergeCell ref="A35:D35"/>
    <mergeCell ref="A36:D36"/>
    <mergeCell ref="A37:D37"/>
    <mergeCell ref="A39:D39"/>
    <mergeCell ref="A40:D40"/>
    <mergeCell ref="A41:D41"/>
    <mergeCell ref="A42:D42"/>
    <mergeCell ref="A43:D43"/>
    <mergeCell ref="A45:D45"/>
    <mergeCell ref="A46:D46"/>
    <mergeCell ref="A47:D47"/>
    <mergeCell ref="A33:D33"/>
    <mergeCell ref="A1:H1"/>
    <mergeCell ref="B3:G3"/>
    <mergeCell ref="B5:G5"/>
    <mergeCell ref="D7:G7"/>
    <mergeCell ref="B9:G9"/>
    <mergeCell ref="C11:G11"/>
    <mergeCell ref="C12:G12"/>
    <mergeCell ref="A14:D14"/>
    <mergeCell ref="A15:D15"/>
    <mergeCell ref="A31:D31"/>
    <mergeCell ref="A32:D32"/>
  </mergeCells>
  <pageMargins left="0.70866141732283472" right="0.70866141732283472" top="0.74803149606299213" bottom="0.74803149606299213" header="0.31496062992125984" footer="0.31496062992125984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Hoja1</vt:lpstr>
      <vt:lpstr>Presupuesto</vt:lpstr>
      <vt:lpstr>AFINADO 4 CMS </vt:lpstr>
      <vt:lpstr>MO ENCHAPE </vt:lpstr>
      <vt:lpstr>ESTUCO + PINT</vt:lpstr>
      <vt:lpstr>DRYWALL TECHO</vt:lpstr>
      <vt:lpstr>ASEO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wilder dominguez cespedes</dc:creator>
  <cp:lastModifiedBy>USUARIO</cp:lastModifiedBy>
  <dcterms:created xsi:type="dcterms:W3CDTF">2026-04-01T13:27:43Z</dcterms:created>
  <dcterms:modified xsi:type="dcterms:W3CDTF">2026-08-06T15:45:47Z</dcterms:modified>
</cp:coreProperties>
</file>